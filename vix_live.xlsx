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vix-dashboard-main/"/>
    </mc:Choice>
  </mc:AlternateContent>
  <xr:revisionPtr revIDLastSave="31" documentId="8_{93E601B2-EFC0-45FC-8101-80E3A33A10D3}" xr6:coauthVersionLast="47" xr6:coauthVersionMax="47" xr10:uidLastSave="{DAFF757D-5BDB-4C6B-95D4-DD67E25C885C}"/>
  <bookViews>
    <workbookView minimized="1" xWindow="34095" yWindow="5565" windowWidth="21600" windowHeight="11295" xr2:uid="{190902DB-2B16-4BFD-BDAE-AD109186DFAF}"/>
  </bookViews>
  <sheets>
    <sheet name="RTD" sheetId="1" r:id="rId1"/>
    <sheet name="tenure" sheetId="2" r:id="rId2"/>
  </sheets>
  <externalReferences>
    <externalReference r:id="rId3"/>
  </externalReferenc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A6" i="2"/>
  <c r="B6" i="2" s="1"/>
  <c r="C6" i="2" s="1"/>
  <c r="D6" i="2" s="1"/>
  <c r="E7" i="2" s="1"/>
  <c r="E6" i="2"/>
  <c r="A7" i="2"/>
  <c r="B7" i="2" s="1"/>
  <c r="C7" i="2" s="1"/>
  <c r="D7" i="2" s="1"/>
  <c r="E8" i="2" s="1"/>
  <c r="A8" i="2"/>
  <c r="B8" i="2"/>
  <c r="C8" i="2" s="1"/>
  <c r="D8" i="2" s="1"/>
  <c r="E9" i="2" s="1"/>
  <c r="A9" i="2"/>
  <c r="B9" i="2"/>
  <c r="C9" i="2"/>
  <c r="D9" i="2"/>
  <c r="E10" i="2" s="1"/>
  <c r="A10" i="2"/>
  <c r="B10" i="2" s="1"/>
  <c r="C10" i="2" s="1"/>
  <c r="D10" i="2" s="1"/>
  <c r="E11" i="2" s="1"/>
  <c r="A11" i="2"/>
  <c r="B11" i="2"/>
  <c r="C11" i="2"/>
  <c r="D11" i="2"/>
  <c r="E12" i="2" s="1"/>
  <c r="A12" i="2"/>
  <c r="B12" i="2" s="1"/>
  <c r="C12" i="2" s="1"/>
  <c r="D12" i="2" s="1"/>
  <c r="E13" i="2" s="1"/>
  <c r="A13" i="2"/>
  <c r="B13" i="2"/>
  <c r="C13" i="2" s="1"/>
  <c r="D13" i="2" s="1"/>
  <c r="E14" i="2" s="1"/>
  <c r="A14" i="2"/>
  <c r="B14" i="2"/>
  <c r="C14" i="2" s="1"/>
  <c r="D14" i="2" s="1"/>
  <c r="E15" i="2" s="1"/>
  <c r="A15" i="2"/>
  <c r="B15" i="2"/>
  <c r="C15" i="2" s="1"/>
  <c r="D15" i="2" s="1"/>
  <c r="E16" i="2" s="1"/>
  <c r="A16" i="2"/>
  <c r="B16" i="2"/>
  <c r="C16" i="2"/>
  <c r="D16" i="2" s="1"/>
  <c r="E17" i="2" s="1"/>
  <c r="A17" i="2"/>
  <c r="B17" i="2"/>
  <c r="C17" i="2"/>
  <c r="D17" i="2" s="1"/>
  <c r="E18" i="2" s="1"/>
  <c r="A18" i="2"/>
  <c r="B18" i="2"/>
  <c r="C18" i="2" s="1"/>
  <c r="D18" i="2" s="1"/>
  <c r="A19" i="2"/>
  <c r="B19" i="2"/>
  <c r="C19" i="2"/>
  <c r="D19" i="2"/>
  <c r="E20" i="2" s="1"/>
  <c r="E19" i="2"/>
  <c r="A20" i="2"/>
  <c r="B20" i="2"/>
  <c r="C20" i="2" s="1"/>
  <c r="D20" i="2" s="1"/>
  <c r="E21" i="2" s="1"/>
  <c r="A21" i="2"/>
  <c r="B21" i="2" s="1"/>
  <c r="C21" i="2" s="1"/>
  <c r="D21" i="2"/>
  <c r="E22" i="2" s="1"/>
  <c r="A22" i="2"/>
  <c r="B22" i="2"/>
  <c r="C22" i="2"/>
  <c r="D22" i="2"/>
  <c r="E23" i="2" s="1"/>
  <c r="K22" i="2"/>
  <c r="A23" i="2"/>
  <c r="B23" i="2"/>
  <c r="C23" i="2"/>
  <c r="D23" i="2" s="1"/>
  <c r="E24" i="2" s="1"/>
  <c r="K23" i="2"/>
  <c r="A24" i="2"/>
  <c r="B24" i="2"/>
  <c r="C24" i="2"/>
  <c r="D24" i="2"/>
  <c r="K24" i="2"/>
  <c r="A25" i="2"/>
  <c r="B25" i="2"/>
  <c r="C25" i="2" s="1"/>
  <c r="D25" i="2" s="1"/>
  <c r="E26" i="2" s="1"/>
  <c r="E25" i="2"/>
  <c r="A26" i="2"/>
  <c r="B26" i="2" s="1"/>
  <c r="C26" i="2" s="1"/>
  <c r="D26" i="2" s="1"/>
  <c r="E27" i="2" s="1"/>
  <c r="A27" i="2"/>
  <c r="B27" i="2" s="1"/>
  <c r="C27" i="2" s="1"/>
  <c r="D27" i="2"/>
  <c r="E28" i="2" s="1"/>
  <c r="A28" i="2"/>
  <c r="B28" i="2"/>
  <c r="C28" i="2" s="1"/>
  <c r="D28" i="2" s="1"/>
  <c r="E29" i="2" s="1"/>
  <c r="A29" i="2"/>
  <c r="B29" i="2"/>
  <c r="C29" i="2" s="1"/>
  <c r="D29" i="2" s="1"/>
  <c r="A30" i="2"/>
  <c r="B30" i="2"/>
  <c r="C30" i="2"/>
  <c r="D30" i="2"/>
  <c r="E31" i="2" s="1"/>
  <c r="E30" i="2"/>
  <c r="A31" i="2"/>
  <c r="B31" i="2"/>
  <c r="C31" i="2"/>
  <c r="D31" i="2" s="1"/>
  <c r="E32" i="2" s="1"/>
  <c r="A32" i="2"/>
  <c r="B32" i="2"/>
  <c r="C32" i="2" s="1"/>
  <c r="D32" i="2" s="1"/>
  <c r="E33" i="2" s="1"/>
  <c r="A33" i="2"/>
  <c r="B33" i="2"/>
  <c r="C33" i="2"/>
  <c r="D33" i="2"/>
  <c r="E34" i="2" s="1"/>
  <c r="A34" i="2"/>
  <c r="B34" i="2"/>
  <c r="C34" i="2"/>
  <c r="D34" i="2"/>
  <c r="A35" i="2"/>
  <c r="B35" i="2" s="1"/>
  <c r="C35" i="2" s="1"/>
  <c r="D35" i="2" s="1"/>
  <c r="E36" i="2" s="1"/>
  <c r="E35" i="2"/>
  <c r="A36" i="2"/>
  <c r="B36" i="2" s="1"/>
  <c r="C36" i="2" s="1"/>
  <c r="D36" i="2" s="1"/>
  <c r="A37" i="2"/>
  <c r="B37" i="2"/>
  <c r="C37" i="2"/>
  <c r="D37" i="2"/>
  <c r="E38" i="2" s="1"/>
  <c r="E37" i="2"/>
  <c r="A38" i="2"/>
  <c r="B38" i="2" s="1"/>
  <c r="C38" i="2" s="1"/>
  <c r="D38" i="2" s="1"/>
  <c r="E39" i="2" s="1"/>
  <c r="A39" i="2"/>
  <c r="B39" i="2"/>
  <c r="C39" i="2" s="1"/>
  <c r="D39" i="2" s="1"/>
  <c r="E40" i="2" s="1"/>
  <c r="A40" i="2"/>
  <c r="B40" i="2"/>
  <c r="C40" i="2"/>
  <c r="D40" i="2" s="1"/>
  <c r="E41" i="2" s="1"/>
  <c r="A41" i="2"/>
  <c r="B41" i="2" s="1"/>
  <c r="C41" i="2" s="1"/>
  <c r="D41" i="2" s="1"/>
  <c r="E42" i="2" s="1"/>
  <c r="A42" i="2"/>
  <c r="B42" i="2"/>
  <c r="C42" i="2"/>
  <c r="D42" i="2"/>
  <c r="E43" i="2" s="1"/>
  <c r="A43" i="2"/>
  <c r="B43" i="2"/>
  <c r="C43" i="2" s="1"/>
  <c r="D43" i="2" s="1"/>
  <c r="E44" i="2" s="1"/>
  <c r="A44" i="2"/>
  <c r="B44" i="2"/>
  <c r="C44" i="2"/>
  <c r="D44" i="2" s="1"/>
  <c r="E45" i="2" s="1"/>
  <c r="A45" i="2"/>
  <c r="B45" i="2"/>
  <c r="C45" i="2"/>
  <c r="D45" i="2" s="1"/>
  <c r="A46" i="2"/>
  <c r="B46" i="2"/>
  <c r="C46" i="2"/>
  <c r="D46" i="2"/>
  <c r="E47" i="2" s="1"/>
  <c r="E46" i="2"/>
  <c r="A47" i="2"/>
  <c r="B47" i="2"/>
  <c r="C47" i="2" s="1"/>
  <c r="D47" i="2" s="1"/>
  <c r="E48" i="2" s="1"/>
  <c r="A48" i="2"/>
  <c r="B48" i="2"/>
  <c r="C48" i="2"/>
  <c r="D48" i="2"/>
  <c r="A49" i="2"/>
  <c r="B49" i="2"/>
  <c r="C49" i="2"/>
  <c r="D49" i="2"/>
  <c r="E50" i="2" s="1"/>
  <c r="E49" i="2"/>
  <c r="A50" i="2"/>
  <c r="B50" i="2" s="1"/>
  <c r="C50" i="2" s="1"/>
  <c r="D50" i="2" s="1"/>
  <c r="A51" i="2"/>
  <c r="B51" i="2"/>
  <c r="C51" i="2"/>
  <c r="D51" i="2"/>
  <c r="E52" i="2" s="1"/>
  <c r="E51" i="2"/>
  <c r="A52" i="2"/>
  <c r="B52" i="2"/>
  <c r="C52" i="2"/>
  <c r="D52" i="2" s="1"/>
  <c r="E53" i="2" s="1"/>
  <c r="A53" i="2"/>
  <c r="B53" i="2"/>
  <c r="C53" i="2" s="1"/>
  <c r="D53" i="2" s="1"/>
  <c r="A54" i="2"/>
  <c r="B54" i="2"/>
  <c r="C54" i="2"/>
  <c r="D54" i="2"/>
  <c r="E54" i="2"/>
  <c r="A55" i="2"/>
  <c r="B55" i="2" s="1"/>
  <c r="C55" i="2" s="1"/>
  <c r="D55" i="2"/>
  <c r="E56" i="2" s="1"/>
  <c r="E55" i="2"/>
  <c r="A56" i="2"/>
  <c r="B56" i="2"/>
  <c r="C56" i="2" s="1"/>
  <c r="D56" i="2" s="1"/>
  <c r="E57" i="2" s="1"/>
  <c r="A57" i="2"/>
  <c r="B57" i="2"/>
  <c r="C57" i="2" s="1"/>
  <c r="D57" i="2" s="1"/>
  <c r="A58" i="2"/>
  <c r="B58" i="2"/>
  <c r="C58" i="2"/>
  <c r="D58" i="2"/>
  <c r="E59" i="2" s="1"/>
  <c r="E58" i="2"/>
  <c r="A59" i="2"/>
  <c r="B59" i="2"/>
  <c r="C59" i="2"/>
  <c r="D59" i="2" s="1"/>
  <c r="A60" i="2"/>
  <c r="B60" i="2"/>
  <c r="C60" i="2"/>
  <c r="D60" i="2"/>
  <c r="E60" i="2"/>
  <c r="A61" i="2"/>
  <c r="B61" i="2"/>
  <c r="C61" i="2"/>
  <c r="D61" i="2"/>
  <c r="E62" i="2" s="1"/>
  <c r="E61" i="2"/>
  <c r="A62" i="2"/>
  <c r="B62" i="2"/>
  <c r="C62" i="2"/>
  <c r="D62" i="2"/>
  <c r="A63" i="2"/>
  <c r="B63" i="2"/>
  <c r="C63" i="2"/>
  <c r="D63" i="2"/>
  <c r="E64" i="2" s="1"/>
  <c r="E63" i="2"/>
  <c r="A64" i="2"/>
  <c r="B64" i="2" s="1"/>
  <c r="C64" i="2" s="1"/>
  <c r="D64" i="2" s="1"/>
  <c r="E65" i="2" s="1"/>
  <c r="A65" i="2"/>
  <c r="B65" i="2" s="1"/>
  <c r="C65" i="2" s="1"/>
  <c r="D65" i="2" s="1"/>
  <c r="E66" i="2" s="1"/>
  <c r="A66" i="2"/>
  <c r="B66" i="2"/>
  <c r="C66" i="2"/>
  <c r="D66" i="2"/>
  <c r="A67" i="2"/>
  <c r="B67" i="2"/>
  <c r="C67" i="2" s="1"/>
  <c r="D67" i="2" s="1"/>
  <c r="E68" i="2" s="1"/>
  <c r="E67" i="2"/>
  <c r="A68" i="2"/>
  <c r="B68" i="2"/>
  <c r="C68" i="2"/>
  <c r="D68" i="2" s="1"/>
  <c r="E69" i="2" s="1"/>
  <c r="A69" i="2"/>
  <c r="B69" i="2" s="1"/>
  <c r="C69" i="2" s="1"/>
  <c r="D69" i="2"/>
  <c r="A70" i="2"/>
  <c r="B70" i="2"/>
  <c r="C70" i="2"/>
  <c r="D70" i="2"/>
  <c r="E71" i="2" s="1"/>
  <c r="E70" i="2"/>
  <c r="A71" i="2"/>
  <c r="B71" i="2"/>
  <c r="C71" i="2" s="1"/>
  <c r="D71" i="2" s="1"/>
  <c r="A72" i="2"/>
  <c r="B72" i="2"/>
  <c r="C72" i="2"/>
  <c r="D72" i="2"/>
  <c r="E73" i="2" s="1"/>
  <c r="E72" i="2"/>
  <c r="A73" i="2"/>
  <c r="B73" i="2"/>
  <c r="C73" i="2"/>
  <c r="D73" i="2" s="1"/>
  <c r="A74" i="2"/>
  <c r="B74" i="2"/>
  <c r="C74" i="2"/>
  <c r="D74" i="2"/>
  <c r="E75" i="2" s="1"/>
  <c r="E74" i="2"/>
  <c r="A75" i="2"/>
  <c r="B75" i="2" s="1"/>
  <c r="C75" i="2" s="1"/>
  <c r="D75" i="2" s="1"/>
  <c r="E76" i="2" s="1"/>
  <c r="A76" i="2"/>
  <c r="B76" i="2"/>
  <c r="C76" i="2"/>
  <c r="D76" i="2"/>
  <c r="A77" i="2"/>
  <c r="B77" i="2" s="1"/>
  <c r="C77" i="2" s="1"/>
  <c r="D77" i="2" s="1"/>
  <c r="E78" i="2" s="1"/>
  <c r="E77" i="2"/>
  <c r="A78" i="2"/>
  <c r="B78" i="2" s="1"/>
  <c r="C78" i="2" s="1"/>
  <c r="D78" i="2" s="1"/>
  <c r="A79" i="2"/>
  <c r="B79" i="2"/>
  <c r="C79" i="2"/>
  <c r="D79" i="2"/>
  <c r="E80" i="2" s="1"/>
  <c r="E79" i="2"/>
  <c r="A80" i="2"/>
  <c r="B80" i="2"/>
  <c r="C80" i="2"/>
  <c r="D80" i="2" s="1"/>
  <c r="E81" i="2" s="1"/>
  <c r="A81" i="2"/>
  <c r="B81" i="2"/>
  <c r="C81" i="2" s="1"/>
  <c r="D81" i="2"/>
  <c r="A82" i="2"/>
  <c r="B82" i="2"/>
  <c r="C82" i="2"/>
  <c r="D82" i="2"/>
  <c r="E83" i="2" s="1"/>
  <c r="E82" i="2"/>
  <c r="A83" i="2"/>
  <c r="B83" i="2" s="1"/>
  <c r="C83" i="2" s="1"/>
  <c r="D83" i="2" s="1"/>
  <c r="E84" i="2" s="1"/>
  <c r="A84" i="2"/>
  <c r="B84" i="2" s="1"/>
  <c r="C84" i="2" s="1"/>
  <c r="D84" i="2" s="1"/>
  <c r="E85" i="2" s="1"/>
  <c r="A85" i="2"/>
  <c r="B85" i="2"/>
  <c r="C85" i="2" s="1"/>
  <c r="D85" i="2" s="1"/>
  <c r="A86" i="2"/>
  <c r="B86" i="2"/>
  <c r="C86" i="2"/>
  <c r="D86" i="2"/>
  <c r="E87" i="2" s="1"/>
  <c r="E86" i="2"/>
  <c r="A87" i="2"/>
  <c r="B87" i="2" s="1"/>
  <c r="C87" i="2" s="1"/>
  <c r="D87" i="2" s="1"/>
  <c r="E88" i="2" s="1"/>
  <c r="A88" i="2"/>
  <c r="B88" i="2"/>
  <c r="C88" i="2"/>
  <c r="D88" i="2"/>
  <c r="E89" i="2" s="1"/>
  <c r="A89" i="2"/>
  <c r="B89" i="2"/>
  <c r="C89" i="2" s="1"/>
  <c r="D89" i="2" s="1"/>
  <c r="E90" i="2" s="1"/>
  <c r="A90" i="2"/>
  <c r="B90" i="2"/>
  <c r="C90" i="2"/>
  <c r="D90" i="2"/>
  <c r="A91" i="2"/>
  <c r="B91" i="2"/>
  <c r="C91" i="2"/>
  <c r="D91" i="2"/>
  <c r="E92" i="2" s="1"/>
  <c r="E91" i="2"/>
  <c r="A92" i="2"/>
  <c r="B92" i="2" s="1"/>
  <c r="C92" i="2" s="1"/>
  <c r="D92" i="2" s="1"/>
  <c r="E93" i="2" s="1"/>
  <c r="A93" i="2"/>
  <c r="B93" i="2" s="1"/>
  <c r="C93" i="2" s="1"/>
  <c r="D93" i="2" s="1"/>
  <c r="E94" i="2" s="1"/>
  <c r="A94" i="2"/>
  <c r="B94" i="2"/>
  <c r="C94" i="2"/>
  <c r="D94" i="2"/>
  <c r="E95" i="2" s="1"/>
  <c r="A95" i="2"/>
  <c r="B95" i="2"/>
  <c r="C95" i="2" s="1"/>
  <c r="D95" i="2"/>
  <c r="A96" i="2"/>
  <c r="B96" i="2"/>
  <c r="C96" i="2"/>
  <c r="D96" i="2"/>
  <c r="E96" i="2"/>
  <c r="A97" i="2"/>
  <c r="B97" i="2" s="1"/>
  <c r="C97" i="2" s="1"/>
  <c r="D97" i="2"/>
  <c r="E98" i="2" s="1"/>
  <c r="E97" i="2"/>
  <c r="A98" i="2"/>
  <c r="B98" i="2"/>
  <c r="C98" i="2"/>
  <c r="D98" i="2" s="1"/>
  <c r="E99" i="2" s="1"/>
  <c r="A99" i="2"/>
  <c r="B99" i="2"/>
  <c r="C99" i="2" s="1"/>
  <c r="D99" i="2" s="1"/>
  <c r="A100" i="2"/>
  <c r="B100" i="2"/>
  <c r="C100" i="2"/>
  <c r="D100" i="2"/>
  <c r="E101" i="2" s="1"/>
  <c r="E100" i="2"/>
  <c r="A101" i="2"/>
  <c r="B101" i="2" s="1"/>
  <c r="C101" i="2" s="1"/>
  <c r="D101" i="2" s="1"/>
  <c r="E102" i="2" s="1"/>
  <c r="A102" i="2"/>
  <c r="B102" i="2"/>
  <c r="C102" i="2" s="1"/>
  <c r="D102" i="2" s="1"/>
  <c r="E103" i="2" s="1"/>
  <c r="A103" i="2"/>
  <c r="B103" i="2"/>
  <c r="C103" i="2"/>
  <c r="D103" i="2"/>
  <c r="E104" i="2" s="1"/>
  <c r="A104" i="2"/>
  <c r="B104" i="2"/>
  <c r="C104" i="2"/>
  <c r="D104" i="2"/>
  <c r="A105" i="2"/>
  <c r="B105" i="2"/>
  <c r="C105" i="2"/>
  <c r="D105" i="2"/>
  <c r="E106" i="2" s="1"/>
  <c r="E105" i="2"/>
  <c r="A106" i="2"/>
  <c r="B106" i="2" s="1"/>
  <c r="C106" i="2" s="1"/>
  <c r="D106" i="2" s="1"/>
  <c r="E107" i="2" s="1"/>
  <c r="A107" i="2"/>
  <c r="B107" i="2" s="1"/>
  <c r="C107" i="2" s="1"/>
  <c r="D107" i="2" s="1"/>
  <c r="E108" i="2" s="1"/>
  <c r="A108" i="2"/>
  <c r="B108" i="2"/>
  <c r="C108" i="2"/>
  <c r="D108" i="2"/>
  <c r="A109" i="2"/>
  <c r="B109" i="2"/>
  <c r="C109" i="2" s="1"/>
  <c r="D109" i="2"/>
  <c r="E110" i="2" s="1"/>
  <c r="E109" i="2"/>
  <c r="A110" i="2"/>
  <c r="B110" i="2"/>
  <c r="C110" i="2" s="1"/>
  <c r="D110" i="2" s="1"/>
  <c r="E111" i="2" s="1"/>
  <c r="A111" i="2"/>
  <c r="B111" i="2" s="1"/>
  <c r="C111" i="2" s="1"/>
  <c r="D111" i="2"/>
  <c r="A112" i="2"/>
  <c r="B112" i="2"/>
  <c r="C112" i="2"/>
  <c r="D112" i="2"/>
  <c r="E113" i="2" s="1"/>
  <c r="E112" i="2"/>
  <c r="A113" i="2"/>
  <c r="B113" i="2"/>
  <c r="C113" i="2" s="1"/>
  <c r="D113" i="2" s="1"/>
  <c r="A114" i="2"/>
  <c r="B114" i="2"/>
  <c r="C114" i="2"/>
  <c r="D114" i="2"/>
  <c r="E115" i="2" s="1"/>
  <c r="E114" i="2"/>
  <c r="A115" i="2"/>
  <c r="B115" i="2"/>
  <c r="C115" i="2"/>
  <c r="D115" i="2" s="1"/>
  <c r="E116" i="2" s="1"/>
  <c r="A116" i="2"/>
  <c r="B116" i="2"/>
  <c r="C116" i="2"/>
  <c r="D116" i="2"/>
  <c r="E117" i="2" s="1"/>
  <c r="A117" i="2"/>
  <c r="B117" i="2"/>
  <c r="C117" i="2"/>
  <c r="D117" i="2"/>
  <c r="E118" i="2" s="1"/>
  <c r="A118" i="2"/>
  <c r="B118" i="2"/>
  <c r="C118" i="2"/>
  <c r="D118" i="2"/>
  <c r="A119" i="2"/>
  <c r="B119" i="2"/>
  <c r="C119" i="2" s="1"/>
  <c r="D119" i="2" s="1"/>
  <c r="E120" i="2" s="1"/>
  <c r="E119" i="2"/>
  <c r="A120" i="2"/>
  <c r="B120" i="2" s="1"/>
  <c r="C120" i="2" s="1"/>
  <c r="D120" i="2" s="1"/>
  <c r="A121" i="2"/>
  <c r="B121" i="2"/>
  <c r="C121" i="2"/>
  <c r="D121" i="2"/>
  <c r="E122" i="2" s="1"/>
  <c r="E121" i="2"/>
  <c r="A122" i="2"/>
  <c r="B122" i="2" s="1"/>
  <c r="C122" i="2" s="1"/>
  <c r="D122" i="2" s="1"/>
  <c r="E123" i="2" s="1"/>
  <c r="A123" i="2"/>
  <c r="B123" i="2"/>
  <c r="C123" i="2" s="1"/>
  <c r="D123" i="2"/>
  <c r="E124" i="2" s="1"/>
  <c r="A124" i="2"/>
  <c r="B124" i="2"/>
  <c r="C124" i="2"/>
  <c r="D124" i="2"/>
  <c r="E125" i="2" s="1"/>
  <c r="A125" i="2"/>
  <c r="B125" i="2" s="1"/>
  <c r="C125" i="2" s="1"/>
  <c r="D125" i="2"/>
  <c r="A126" i="2"/>
  <c r="B126" i="2"/>
  <c r="C126" i="2"/>
  <c r="D126" i="2"/>
  <c r="E127" i="2" s="1"/>
  <c r="E126" i="2"/>
  <c r="A127" i="2"/>
  <c r="B127" i="2"/>
  <c r="C127" i="2" s="1"/>
  <c r="D127" i="2" s="1"/>
  <c r="E128" i="2" s="1"/>
  <c r="A128" i="2"/>
  <c r="B128" i="2"/>
  <c r="C128" i="2"/>
  <c r="D128" i="2" s="1"/>
  <c r="E129" i="2" s="1"/>
  <c r="A129" i="2"/>
  <c r="B129" i="2"/>
  <c r="C129" i="2"/>
  <c r="D129" i="2" s="1"/>
  <c r="A130" i="2"/>
  <c r="B130" i="2"/>
  <c r="C130" i="2"/>
  <c r="D130" i="2"/>
  <c r="E131" i="2" s="1"/>
  <c r="E130" i="2"/>
  <c r="A131" i="2"/>
  <c r="B131" i="2"/>
  <c r="C131" i="2"/>
  <c r="D131" i="2" s="1"/>
  <c r="E132" i="2" s="1"/>
  <c r="A132" i="2"/>
  <c r="B132" i="2"/>
  <c r="C132" i="2"/>
  <c r="D132" i="2"/>
  <c r="A133" i="2"/>
  <c r="B133" i="2"/>
  <c r="C133" i="2"/>
  <c r="D133" i="2"/>
  <c r="E134" i="2" s="1"/>
  <c r="E133" i="2"/>
  <c r="A134" i="2"/>
  <c r="B134" i="2" s="1"/>
  <c r="C134" i="2" s="1"/>
  <c r="D134" i="2" s="1"/>
  <c r="A135" i="2"/>
  <c r="B135" i="2"/>
  <c r="C135" i="2" s="1"/>
  <c r="D135" i="2" s="1"/>
  <c r="E136" i="2" s="1"/>
  <c r="E135" i="2"/>
  <c r="A136" i="2"/>
  <c r="B136" i="2"/>
  <c r="C136" i="2"/>
  <c r="D136" i="2" s="1"/>
  <c r="E137" i="2" s="1"/>
  <c r="A137" i="2"/>
  <c r="B137" i="2"/>
  <c r="C137" i="2" s="1"/>
  <c r="D137" i="2" s="1"/>
  <c r="E138" i="2" s="1"/>
  <c r="A138" i="2"/>
  <c r="B138" i="2"/>
  <c r="C138" i="2"/>
  <c r="D138" i="2"/>
  <c r="A139" i="2"/>
  <c r="B139" i="2" s="1"/>
  <c r="C139" i="2" s="1"/>
  <c r="D139" i="2"/>
  <c r="E140" i="2" s="1"/>
  <c r="E139" i="2"/>
  <c r="A140" i="2"/>
  <c r="B140" i="2" s="1"/>
  <c r="C140" i="2" s="1"/>
  <c r="D140" i="2" s="1"/>
  <c r="E141" i="2" s="1"/>
  <c r="A141" i="2"/>
  <c r="B141" i="2"/>
  <c r="C141" i="2" s="1"/>
  <c r="D141" i="2" s="1"/>
  <c r="A142" i="2"/>
  <c r="B142" i="2"/>
  <c r="C142" i="2"/>
  <c r="D142" i="2"/>
  <c r="E143" i="2" s="1"/>
  <c r="E142" i="2"/>
  <c r="A143" i="2"/>
  <c r="B143" i="2"/>
  <c r="C143" i="2" s="1"/>
  <c r="D143" i="2" s="1"/>
  <c r="E144" i="2" s="1"/>
  <c r="A144" i="2"/>
  <c r="B144" i="2"/>
  <c r="C144" i="2"/>
  <c r="D144" i="2"/>
  <c r="A145" i="2"/>
  <c r="B145" i="2"/>
  <c r="C145" i="2"/>
  <c r="D145" i="2"/>
  <c r="E146" i="2" s="1"/>
  <c r="E145" i="2"/>
  <c r="A146" i="2"/>
  <c r="B146" i="2"/>
  <c r="C146" i="2"/>
  <c r="D146" i="2"/>
  <c r="A147" i="2"/>
  <c r="B147" i="2"/>
  <c r="C147" i="2"/>
  <c r="D147" i="2"/>
  <c r="E148" i="2" s="1"/>
  <c r="E147" i="2"/>
  <c r="A148" i="2"/>
  <c r="B148" i="2" s="1"/>
  <c r="C148" i="2" s="1"/>
  <c r="D148" i="2" s="1"/>
  <c r="E149" i="2" s="1"/>
  <c r="A149" i="2"/>
  <c r="B149" i="2"/>
  <c r="C149" i="2" s="1"/>
  <c r="D149" i="2" s="1"/>
  <c r="E150" i="2" s="1"/>
  <c r="A150" i="2"/>
  <c r="B150" i="2"/>
  <c r="C150" i="2"/>
  <c r="D150" i="2"/>
  <c r="A151" i="2"/>
  <c r="B151" i="2"/>
  <c r="C151" i="2" s="1"/>
  <c r="D151" i="2"/>
  <c r="E152" i="2" s="1"/>
  <c r="E151" i="2"/>
  <c r="A152" i="2"/>
  <c r="B152" i="2"/>
  <c r="C152" i="2" s="1"/>
  <c r="D152" i="2" s="1"/>
  <c r="E153" i="2" s="1"/>
  <c r="A153" i="2"/>
  <c r="B153" i="2" s="1"/>
  <c r="C153" i="2"/>
  <c r="D153" i="2"/>
  <c r="E154" i="2" s="1"/>
  <c r="A154" i="2"/>
  <c r="B154" i="2"/>
  <c r="C154" i="2" s="1"/>
  <c r="D154" i="2" s="1"/>
  <c r="E155" i="2" s="1"/>
  <c r="A155" i="2"/>
  <c r="B155" i="2"/>
  <c r="C155" i="2" s="1"/>
  <c r="D155" i="2" s="1"/>
  <c r="A156" i="2"/>
  <c r="B156" i="2"/>
  <c r="C156" i="2"/>
  <c r="D156" i="2"/>
  <c r="E157" i="2" s="1"/>
  <c r="E156" i="2"/>
  <c r="A157" i="2"/>
  <c r="B157" i="2"/>
  <c r="C157" i="2"/>
  <c r="D157" i="2" s="1"/>
  <c r="E158" i="2" s="1"/>
  <c r="A158" i="2"/>
  <c r="B158" i="2" s="1"/>
  <c r="C158" i="2" s="1"/>
  <c r="D158" i="2" s="1"/>
  <c r="E159" i="2" s="1"/>
  <c r="A159" i="2"/>
  <c r="B159" i="2"/>
  <c r="C159" i="2"/>
  <c r="D159" i="2"/>
  <c r="E160" i="2" s="1"/>
  <c r="A160" i="2"/>
  <c r="B160" i="2"/>
  <c r="C160" i="2"/>
  <c r="D160" i="2"/>
  <c r="A161" i="2"/>
  <c r="B161" i="2"/>
  <c r="C161" i="2"/>
  <c r="D161" i="2"/>
  <c r="E161" i="2"/>
  <c r="A162" i="2"/>
  <c r="B162" i="2" s="1"/>
  <c r="C162" i="2" s="1"/>
  <c r="D162" i="2" s="1"/>
  <c r="E163" i="2" s="1"/>
  <c r="E162" i="2"/>
  <c r="A163" i="2"/>
  <c r="B163" i="2"/>
  <c r="C163" i="2"/>
  <c r="D163" i="2" s="1"/>
  <c r="E164" i="2" s="1"/>
  <c r="A164" i="2"/>
  <c r="B164" i="2"/>
  <c r="C164" i="2"/>
  <c r="D164" i="2"/>
  <c r="A165" i="2"/>
  <c r="B165" i="2"/>
  <c r="C165" i="2" s="1"/>
  <c r="D165" i="2"/>
  <c r="E166" i="2" s="1"/>
  <c r="E165" i="2"/>
  <c r="A166" i="2"/>
  <c r="B166" i="2"/>
  <c r="C166" i="2"/>
  <c r="D166" i="2" s="1"/>
  <c r="E167" i="2" s="1"/>
  <c r="A167" i="2"/>
  <c r="B167" i="2" s="1"/>
  <c r="C167" i="2"/>
  <c r="D167" i="2"/>
  <c r="A168" i="2"/>
  <c r="B168" i="2"/>
  <c r="C168" i="2"/>
  <c r="D168" i="2"/>
  <c r="E169" i="2" s="1"/>
  <c r="E168" i="2"/>
  <c r="A169" i="2"/>
  <c r="B169" i="2"/>
  <c r="C169" i="2" s="1"/>
  <c r="D169" i="2" s="1"/>
  <c r="A170" i="2"/>
  <c r="B170" i="2"/>
  <c r="C170" i="2"/>
  <c r="D170" i="2"/>
  <c r="E171" i="2" s="1"/>
  <c r="E170" i="2"/>
  <c r="A171" i="2"/>
  <c r="B171" i="2"/>
  <c r="C171" i="2"/>
  <c r="D171" i="2" s="1"/>
  <c r="E172" i="2" s="1"/>
  <c r="A172" i="2"/>
  <c r="B172" i="2" s="1"/>
  <c r="C172" i="2" s="1"/>
  <c r="D172" i="2" s="1"/>
  <c r="E173" i="2" s="1"/>
  <c r="A173" i="2"/>
  <c r="B173" i="2"/>
  <c r="C173" i="2"/>
  <c r="D173" i="2"/>
  <c r="E174" i="2" s="1"/>
  <c r="A174" i="2"/>
  <c r="B174" i="2"/>
  <c r="C174" i="2"/>
  <c r="D174" i="2"/>
  <c r="A175" i="2"/>
  <c r="B175" i="2"/>
  <c r="C175" i="2" s="1"/>
  <c r="D175" i="2" s="1"/>
  <c r="E176" i="2" s="1"/>
  <c r="E175" i="2"/>
  <c r="A176" i="2"/>
  <c r="B176" i="2" s="1"/>
  <c r="C176" i="2" s="1"/>
  <c r="D176" i="2" s="1"/>
  <c r="E177" i="2" s="1"/>
  <c r="A177" i="2"/>
  <c r="B177" i="2"/>
  <c r="C177" i="2"/>
  <c r="D177" i="2" s="1"/>
  <c r="E178" i="2" s="1"/>
  <c r="A178" i="2"/>
  <c r="B178" i="2" s="1"/>
  <c r="C178" i="2" s="1"/>
  <c r="D178" i="2" s="1"/>
  <c r="E179" i="2" s="1"/>
  <c r="A179" i="2"/>
  <c r="B179" i="2"/>
  <c r="C179" i="2" s="1"/>
  <c r="D179" i="2"/>
  <c r="E180" i="2" s="1"/>
  <c r="A180" i="2"/>
  <c r="B180" i="2"/>
  <c r="C180" i="2"/>
  <c r="D180" i="2"/>
  <c r="E181" i="2" s="1"/>
  <c r="A181" i="2"/>
  <c r="B181" i="2" s="1"/>
  <c r="C181" i="2" s="1"/>
  <c r="D181" i="2" s="1"/>
  <c r="E182" i="2" s="1"/>
  <c r="A182" i="2"/>
  <c r="B182" i="2"/>
  <c r="C182" i="2"/>
  <c r="D182" i="2"/>
  <c r="E183" i="2" s="1"/>
  <c r="A183" i="2"/>
  <c r="B183" i="2"/>
  <c r="C183" i="2" s="1"/>
  <c r="D183" i="2" s="1"/>
  <c r="A184" i="2"/>
  <c r="B184" i="2"/>
  <c r="C184" i="2" s="1"/>
  <c r="D184" i="2" s="1"/>
  <c r="E185" i="2" s="1"/>
  <c r="E184" i="2"/>
  <c r="A185" i="2"/>
  <c r="B185" i="2"/>
  <c r="C185" i="2"/>
  <c r="D185" i="2" s="1"/>
  <c r="A186" i="2"/>
  <c r="B186" i="2"/>
  <c r="C186" i="2"/>
  <c r="D186" i="2"/>
  <c r="E187" i="2" s="1"/>
  <c r="E186" i="2"/>
  <c r="A187" i="2"/>
  <c r="B187" i="2" s="1"/>
  <c r="C187" i="2" s="1"/>
  <c r="D187" i="2" s="1"/>
  <c r="E188" i="2" s="1"/>
  <c r="A188" i="2"/>
  <c r="B188" i="2"/>
  <c r="C188" i="2"/>
  <c r="D188" i="2"/>
  <c r="A189" i="2"/>
  <c r="B189" i="2"/>
  <c r="C189" i="2"/>
  <c r="D189" i="2" s="1"/>
  <c r="E190" i="2" s="1"/>
  <c r="E189" i="2"/>
  <c r="A190" i="2"/>
  <c r="B190" i="2" s="1"/>
  <c r="C190" i="2" s="1"/>
  <c r="D190" i="2" s="1"/>
  <c r="A191" i="2"/>
  <c r="B191" i="2"/>
  <c r="C191" i="2"/>
  <c r="D191" i="2"/>
  <c r="E192" i="2" s="1"/>
  <c r="E191" i="2"/>
  <c r="H191" i="2"/>
  <c r="A192" i="2"/>
  <c r="B192" i="2" s="1"/>
  <c r="C192" i="2" s="1"/>
  <c r="D192" i="2" s="1"/>
  <c r="E193" i="2" s="1"/>
  <c r="H192" i="2"/>
  <c r="A193" i="2"/>
  <c r="B193" i="2"/>
  <c r="C193" i="2" s="1"/>
  <c r="D193" i="2"/>
  <c r="E194" i="2" s="1"/>
  <c r="H193" i="2"/>
  <c r="A194" i="2"/>
  <c r="B194" i="2"/>
  <c r="C194" i="2"/>
  <c r="D194" i="2" s="1"/>
  <c r="E195" i="2" s="1"/>
  <c r="H194" i="2"/>
  <c r="A195" i="2"/>
  <c r="B195" i="2" s="1"/>
  <c r="C195" i="2" s="1"/>
  <c r="D195" i="2" s="1"/>
  <c r="E196" i="2" s="1"/>
  <c r="H195" i="2"/>
  <c r="A196" i="2"/>
  <c r="B196" i="2"/>
  <c r="C196" i="2"/>
  <c r="D196" i="2"/>
  <c r="E197" i="2" s="1"/>
  <c r="H196" i="2"/>
  <c r="A197" i="2"/>
  <c r="B197" i="2"/>
  <c r="C197" i="2" s="1"/>
  <c r="D197" i="2" s="1"/>
  <c r="E198" i="2" s="1"/>
  <c r="H197" i="2"/>
  <c r="A198" i="2"/>
  <c r="B198" i="2"/>
  <c r="C198" i="2"/>
  <c r="D198" i="2"/>
  <c r="E199" i="2" s="1"/>
  <c r="H198" i="2"/>
  <c r="A199" i="2"/>
  <c r="B199" i="2"/>
  <c r="C199" i="2"/>
  <c r="D199" i="2" s="1"/>
  <c r="E200" i="2" s="1"/>
  <c r="H199" i="2"/>
  <c r="A200" i="2"/>
  <c r="B200" i="2" s="1"/>
  <c r="C200" i="2" s="1"/>
  <c r="D200" i="2" s="1"/>
  <c r="E201" i="2" s="1"/>
  <c r="H200" i="2"/>
  <c r="A201" i="2"/>
  <c r="B201" i="2"/>
  <c r="C201" i="2"/>
  <c r="D201" i="2"/>
  <c r="E202" i="2" s="1"/>
  <c r="H201" i="2"/>
  <c r="A202" i="2"/>
  <c r="B202" i="2"/>
  <c r="C202" i="2"/>
  <c r="D202" i="2"/>
  <c r="H202" i="2"/>
  <c r="A203" i="2"/>
  <c r="B203" i="2"/>
  <c r="C203" i="2" s="1"/>
  <c r="D203" i="2" s="1"/>
  <c r="E204" i="2" s="1"/>
  <c r="E203" i="2"/>
  <c r="H203" i="2"/>
  <c r="A204" i="2"/>
  <c r="B204" i="2" s="1"/>
  <c r="C204" i="2" s="1"/>
  <c r="D204" i="2" s="1"/>
  <c r="E205" i="2" s="1"/>
  <c r="H204" i="2"/>
  <c r="A205" i="2"/>
  <c r="B205" i="2"/>
  <c r="C205" i="2"/>
  <c r="D205" i="2" s="1"/>
  <c r="E206" i="2" s="1"/>
  <c r="H205" i="2"/>
  <c r="A206" i="2"/>
  <c r="B206" i="2" s="1"/>
  <c r="C206" i="2" s="1"/>
  <c r="D206" i="2" s="1"/>
  <c r="E207" i="2" s="1"/>
  <c r="H206" i="2"/>
  <c r="A207" i="2"/>
  <c r="B207" i="2"/>
  <c r="C207" i="2" s="1"/>
  <c r="D207" i="2"/>
  <c r="E208" i="2" s="1"/>
  <c r="H207" i="2"/>
  <c r="A208" i="2"/>
  <c r="B208" i="2"/>
  <c r="C208" i="2"/>
  <c r="D208" i="2" s="1"/>
  <c r="E209" i="2" s="1"/>
  <c r="H208" i="2"/>
  <c r="A209" i="2"/>
  <c r="B209" i="2" s="1"/>
  <c r="C209" i="2"/>
  <c r="D209" i="2"/>
  <c r="E210" i="2" s="1"/>
  <c r="H209" i="2"/>
  <c r="A210" i="2"/>
  <c r="B210" i="2"/>
  <c r="C210" i="2"/>
  <c r="D210" i="2"/>
  <c r="E211" i="2" s="1"/>
  <c r="H210" i="2"/>
  <c r="A211" i="2"/>
  <c r="B211" i="2" s="1"/>
  <c r="C211" i="2" s="1"/>
  <c r="D211" i="2" s="1"/>
  <c r="E212" i="2" s="1"/>
  <c r="H211" i="2"/>
  <c r="A212" i="2"/>
  <c r="B212" i="2"/>
  <c r="C212" i="2"/>
  <c r="D212" i="2"/>
  <c r="E213" i="2" s="1"/>
  <c r="H212" i="2"/>
  <c r="A213" i="2"/>
  <c r="B213" i="2"/>
  <c r="C213" i="2"/>
  <c r="D213" i="2" s="1"/>
  <c r="E214" i="2" s="1"/>
  <c r="H213" i="2"/>
  <c r="A214" i="2"/>
  <c r="B214" i="2" s="1"/>
  <c r="C214" i="2" s="1"/>
  <c r="D214" i="2" s="1"/>
  <c r="E215" i="2" s="1"/>
  <c r="H214" i="2"/>
  <c r="A215" i="2"/>
  <c r="B215" i="2"/>
  <c r="C215" i="2"/>
  <c r="D215" i="2"/>
  <c r="E216" i="2" s="1"/>
  <c r="H215" i="2"/>
  <c r="A216" i="2"/>
  <c r="B216" i="2"/>
  <c r="C216" i="2"/>
  <c r="D216" i="2"/>
  <c r="H216" i="2"/>
  <c r="A217" i="2"/>
  <c r="B217" i="2"/>
  <c r="C217" i="2"/>
  <c r="D217" i="2"/>
  <c r="E217" i="2"/>
  <c r="H217" i="2"/>
  <c r="A218" i="2"/>
  <c r="B218" i="2" s="1"/>
  <c r="C218" i="2" s="1"/>
  <c r="D218" i="2" s="1"/>
  <c r="E219" i="2" s="1"/>
  <c r="E218" i="2"/>
  <c r="H218" i="2"/>
  <c r="A219" i="2"/>
  <c r="B219" i="2"/>
  <c r="C219" i="2"/>
  <c r="D219" i="2" s="1"/>
  <c r="E220" i="2" s="1"/>
  <c r="H219" i="2"/>
  <c r="A220" i="2"/>
  <c r="B220" i="2"/>
  <c r="C220" i="2"/>
  <c r="D220" i="2"/>
  <c r="H220" i="2"/>
  <c r="A221" i="2"/>
  <c r="B221" i="2"/>
  <c r="C221" i="2" s="1"/>
  <c r="D221" i="2"/>
  <c r="E222" i="2" s="1"/>
  <c r="E221" i="2"/>
  <c r="H221" i="2"/>
  <c r="A222" i="2"/>
  <c r="B222" i="2"/>
  <c r="C222" i="2" s="1"/>
  <c r="D222" i="2" s="1"/>
  <c r="E223" i="2" s="1"/>
  <c r="H222" i="2"/>
  <c r="A223" i="2"/>
  <c r="B223" i="2" s="1"/>
  <c r="C223" i="2"/>
  <c r="D223" i="2"/>
  <c r="E224" i="2" s="1"/>
  <c r="H223" i="2"/>
  <c r="A224" i="2"/>
  <c r="B224" i="2"/>
  <c r="C224" i="2"/>
  <c r="D224" i="2"/>
  <c r="E225" i="2" s="1"/>
  <c r="H224" i="2"/>
  <c r="A225" i="2"/>
  <c r="B225" i="2"/>
  <c r="C225" i="2" s="1"/>
  <c r="D225" i="2" s="1"/>
  <c r="H225" i="2"/>
  <c r="A226" i="2"/>
  <c r="B226" i="2"/>
  <c r="C226" i="2"/>
  <c r="D226" i="2"/>
  <c r="E227" i="2" s="1"/>
  <c r="E226" i="2"/>
  <c r="H226" i="2"/>
  <c r="A227" i="2"/>
  <c r="B227" i="2" s="1"/>
  <c r="C227" i="2" s="1"/>
  <c r="D227" i="2" s="1"/>
  <c r="E228" i="2" s="1"/>
  <c r="H227" i="2"/>
  <c r="A228" i="2"/>
  <c r="B228" i="2" s="1"/>
  <c r="C228" i="2" s="1"/>
  <c r="D228" i="2" s="1"/>
  <c r="E229" i="2" s="1"/>
  <c r="H228" i="2"/>
  <c r="A229" i="2"/>
  <c r="B229" i="2"/>
  <c r="C229" i="2"/>
  <c r="D229" i="2"/>
  <c r="E230" i="2" s="1"/>
  <c r="H229" i="2"/>
  <c r="A230" i="2"/>
  <c r="B230" i="2"/>
  <c r="C230" i="2"/>
  <c r="D230" i="2"/>
  <c r="H230" i="2"/>
  <c r="A231" i="2"/>
  <c r="B231" i="2"/>
  <c r="C231" i="2"/>
  <c r="D231" i="2"/>
  <c r="E231" i="2"/>
  <c r="H231" i="2"/>
  <c r="A232" i="2"/>
  <c r="B232" i="2" s="1"/>
  <c r="C232" i="2" s="1"/>
  <c r="D232" i="2" s="1"/>
  <c r="E233" i="2" s="1"/>
  <c r="E232" i="2"/>
  <c r="H232" i="2"/>
  <c r="A233" i="2"/>
  <c r="B233" i="2"/>
  <c r="C233" i="2" s="1"/>
  <c r="D233" i="2" s="1"/>
  <c r="E234" i="2" s="1"/>
  <c r="H233" i="2"/>
  <c r="A234" i="2"/>
  <c r="B234" i="2"/>
  <c r="C234" i="2"/>
  <c r="D234" i="2"/>
  <c r="H234" i="2"/>
  <c r="A235" i="2"/>
  <c r="B235" i="2"/>
  <c r="C235" i="2" s="1"/>
  <c r="D235" i="2"/>
  <c r="E236" i="2" s="1"/>
  <c r="E235" i="2"/>
  <c r="H235" i="2"/>
  <c r="A236" i="2"/>
  <c r="B236" i="2" s="1"/>
  <c r="C236" i="2" s="1"/>
  <c r="D236" i="2" s="1"/>
  <c r="E237" i="2" s="1"/>
  <c r="H236" i="2"/>
  <c r="A237" i="2"/>
  <c r="B237" i="2" s="1"/>
  <c r="C237" i="2"/>
  <c r="D237" i="2"/>
  <c r="E238" i="2" s="1"/>
  <c r="H237" i="2"/>
  <c r="A238" i="2"/>
  <c r="B238" i="2"/>
  <c r="C238" i="2"/>
  <c r="D238" i="2" s="1"/>
  <c r="E239" i="2" s="1"/>
  <c r="H238" i="2"/>
  <c r="A239" i="2"/>
  <c r="B239" i="2"/>
  <c r="C239" i="2" s="1"/>
  <c r="D239" i="2" s="1"/>
  <c r="H239" i="2"/>
  <c r="A240" i="2"/>
  <c r="B240" i="2"/>
  <c r="C240" i="2"/>
  <c r="D240" i="2"/>
  <c r="E241" i="2" s="1"/>
  <c r="E240" i="2"/>
  <c r="H240" i="2"/>
  <c r="A241" i="2"/>
  <c r="B241" i="2" s="1"/>
  <c r="C241" i="2" s="1"/>
  <c r="D241" i="2" s="1"/>
  <c r="E242" i="2" s="1"/>
  <c r="H241" i="2"/>
  <c r="A242" i="2"/>
  <c r="B242" i="2"/>
  <c r="C242" i="2"/>
  <c r="D242" i="2"/>
  <c r="E243" i="2" s="1"/>
  <c r="H242" i="2"/>
  <c r="A243" i="2"/>
  <c r="B243" i="2"/>
  <c r="C243" i="2"/>
  <c r="D243" i="2" s="1"/>
  <c r="E244" i="2" s="1"/>
  <c r="H243" i="2"/>
  <c r="A244" i="2"/>
  <c r="B244" i="2"/>
  <c r="C244" i="2"/>
  <c r="D244" i="2"/>
  <c r="H244" i="2"/>
  <c r="A245" i="2"/>
  <c r="B245" i="2"/>
  <c r="C245" i="2"/>
  <c r="D245" i="2"/>
  <c r="E245" i="2"/>
  <c r="H245" i="2"/>
  <c r="A246" i="2"/>
  <c r="B246" i="2" s="1"/>
  <c r="C246" i="2" s="1"/>
  <c r="D246" i="2" s="1"/>
  <c r="E247" i="2" s="1"/>
  <c r="E246" i="2"/>
  <c r="H246" i="2"/>
  <c r="A247" i="2"/>
  <c r="B247" i="2" s="1"/>
  <c r="C247" i="2" s="1"/>
  <c r="D247" i="2" s="1"/>
  <c r="E248" i="2" s="1"/>
  <c r="H247" i="2"/>
  <c r="A248" i="2"/>
  <c r="B248" i="2"/>
  <c r="C248" i="2"/>
  <c r="D248" i="2"/>
  <c r="E249" i="2" s="1"/>
  <c r="H248" i="2"/>
  <c r="A249" i="2"/>
  <c r="B249" i="2"/>
  <c r="C249" i="2" s="1"/>
  <c r="D249" i="2"/>
  <c r="H249" i="2"/>
  <c r="A250" i="2"/>
  <c r="B250" i="2"/>
  <c r="C250" i="2"/>
  <c r="D250" i="2"/>
  <c r="E250" i="2"/>
  <c r="H250" i="2"/>
  <c r="A251" i="2"/>
  <c r="B251" i="2" s="1"/>
  <c r="C251" i="2"/>
  <c r="D251" i="2"/>
  <c r="E252" i="2" s="1"/>
  <c r="E251" i="2"/>
  <c r="H251" i="2"/>
  <c r="A252" i="2"/>
  <c r="B252" i="2"/>
  <c r="C252" i="2" s="1"/>
  <c r="D252" i="2" s="1"/>
  <c r="E253" i="2" s="1"/>
  <c r="H252" i="2"/>
  <c r="A253" i="2"/>
  <c r="B253" i="2"/>
  <c r="C253" i="2" s="1"/>
  <c r="D253" i="2" s="1"/>
  <c r="E254" i="2" s="1"/>
  <c r="H253" i="2"/>
  <c r="A254" i="2"/>
  <c r="B254" i="2"/>
  <c r="C254" i="2"/>
  <c r="D254" i="2" s="1"/>
  <c r="E255" i="2" s="1"/>
  <c r="H254" i="2"/>
  <c r="A255" i="2"/>
  <c r="B255" i="2" s="1"/>
  <c r="C255" i="2" s="1"/>
  <c r="D255" i="2" s="1"/>
  <c r="E256" i="2" s="1"/>
  <c r="H255" i="2"/>
  <c r="A256" i="2"/>
  <c r="B256" i="2"/>
  <c r="C256" i="2"/>
  <c r="D256" i="2"/>
  <c r="E257" i="2" s="1"/>
  <c r="H256" i="2"/>
  <c r="A257" i="2"/>
  <c r="B257" i="2"/>
  <c r="C257" i="2"/>
  <c r="D257" i="2" s="1"/>
  <c r="H257" i="2"/>
  <c r="C2" i="2" l="1"/>
  <c r="E2" i="2" s="1"/>
  <c r="G6" i="2" s="1" a="1"/>
  <c r="H24" i="2" l="1"/>
  <c r="H122" i="2"/>
  <c r="H136" i="2"/>
  <c r="H150" i="2"/>
  <c r="H164" i="2"/>
  <c r="H178" i="2"/>
  <c r="H43" i="2"/>
  <c r="H71" i="2"/>
  <c r="H113" i="2"/>
  <c r="H141" i="2"/>
  <c r="H48" i="2"/>
  <c r="H62" i="2"/>
  <c r="H76" i="2"/>
  <c r="H38" i="2"/>
  <c r="H52" i="2"/>
  <c r="H66" i="2"/>
  <c r="H80" i="2"/>
  <c r="H94" i="2"/>
  <c r="H108" i="2"/>
  <c r="H12" i="2"/>
  <c r="H20" i="2"/>
  <c r="H29" i="2"/>
  <c r="H127" i="2"/>
  <c r="H155" i="2"/>
  <c r="H169" i="2"/>
  <c r="A3" i="1"/>
  <c r="H57" i="2"/>
  <c r="H85" i="2"/>
  <c r="H99" i="2"/>
  <c r="H183" i="2"/>
  <c r="H34" i="2"/>
  <c r="H26" i="2"/>
  <c r="H40" i="2"/>
  <c r="H54" i="2"/>
  <c r="H68" i="2"/>
  <c r="H82" i="2"/>
  <c r="H96" i="2"/>
  <c r="H110" i="2"/>
  <c r="H124" i="2"/>
  <c r="H138" i="2"/>
  <c r="H152" i="2"/>
  <c r="H166" i="2"/>
  <c r="H180" i="2"/>
  <c r="H10" i="2"/>
  <c r="H22" i="2"/>
  <c r="H31" i="2"/>
  <c r="H45" i="2"/>
  <c r="H59" i="2"/>
  <c r="H73" i="2"/>
  <c r="H87" i="2"/>
  <c r="H101" i="2"/>
  <c r="H115" i="2"/>
  <c r="H129" i="2"/>
  <c r="H143" i="2"/>
  <c r="H157" i="2"/>
  <c r="H171" i="2"/>
  <c r="H185" i="2"/>
  <c r="A7" i="1"/>
  <c r="H25" i="2"/>
  <c r="H37" i="2"/>
  <c r="H49" i="2"/>
  <c r="H74" i="2"/>
  <c r="H86" i="2"/>
  <c r="H92" i="2"/>
  <c r="H133" i="2"/>
  <c r="H186" i="2"/>
  <c r="H146" i="2"/>
  <c r="H158" i="2"/>
  <c r="H69" i="2"/>
  <c r="H81" i="2"/>
  <c r="H21" i="2"/>
  <c r="H111" i="2"/>
  <c r="H117" i="2"/>
  <c r="A5" i="1"/>
  <c r="H105" i="2"/>
  <c r="H27" i="2"/>
  <c r="H7" i="2"/>
  <c r="I7" i="2" s="1"/>
  <c r="B3" i="1" s="1"/>
  <c r="H33" i="2"/>
  <c r="H100" i="2"/>
  <c r="H58" i="2"/>
  <c r="H165" i="2"/>
  <c r="H116" i="2"/>
  <c r="H32" i="2"/>
  <c r="H140" i="2"/>
  <c r="G6" i="2"/>
  <c r="H15" i="2"/>
  <c r="H175" i="2"/>
  <c r="H181" i="2"/>
  <c r="H75" i="2"/>
  <c r="H123" i="2"/>
  <c r="H170" i="2"/>
  <c r="H11" i="2"/>
  <c r="H39" i="2"/>
  <c r="H51" i="2"/>
  <c r="H135" i="2"/>
  <c r="H88" i="2"/>
  <c r="H64" i="2"/>
  <c r="H159" i="2"/>
  <c r="A6" i="1"/>
  <c r="H130" i="2"/>
  <c r="H188" i="2"/>
  <c r="H91" i="2"/>
  <c r="H139" i="2"/>
  <c r="H19" i="2"/>
  <c r="H50" i="2"/>
  <c r="H98" i="2"/>
  <c r="H104" i="2"/>
  <c r="H128" i="2"/>
  <c r="H134" i="2"/>
  <c r="H163" i="2"/>
  <c r="H187" i="2"/>
  <c r="H176" i="2"/>
  <c r="H153" i="2"/>
  <c r="H147" i="2"/>
  <c r="H16" i="2"/>
  <c r="H70" i="2"/>
  <c r="H44" i="2"/>
  <c r="H56" i="2"/>
  <c r="A4" i="1"/>
  <c r="H93" i="2"/>
  <c r="H63" i="2"/>
  <c r="H106" i="2"/>
  <c r="H182" i="2"/>
  <c r="H151" i="2"/>
  <c r="H46" i="2"/>
  <c r="H112" i="2"/>
  <c r="H118" i="2"/>
  <c r="H142" i="2"/>
  <c r="H148" i="2"/>
  <c r="H120" i="2"/>
  <c r="A8" i="1"/>
  <c r="H83" i="2"/>
  <c r="H177" i="2"/>
  <c r="A10" i="1"/>
  <c r="H60" i="2"/>
  <c r="H18" i="2"/>
  <c r="H132" i="2"/>
  <c r="H173" i="2"/>
  <c r="H79" i="2"/>
  <c r="H97" i="2"/>
  <c r="H14" i="2"/>
  <c r="H55" i="2"/>
  <c r="H61" i="2"/>
  <c r="H168" i="2"/>
  <c r="H28" i="2"/>
  <c r="H89" i="2"/>
  <c r="H95" i="2"/>
  <c r="H154" i="2"/>
  <c r="H160" i="2"/>
  <c r="H131" i="2"/>
  <c r="H189" i="2"/>
  <c r="H13" i="2"/>
  <c r="H184" i="2"/>
  <c r="H84" i="2"/>
  <c r="H190" i="2"/>
  <c r="H161" i="2"/>
  <c r="H36" i="2"/>
  <c r="H126" i="2"/>
  <c r="A11" i="1"/>
  <c r="H42" i="2"/>
  <c r="H103" i="2"/>
  <c r="H145" i="2"/>
  <c r="H174" i="2"/>
  <c r="H53" i="2"/>
  <c r="H65" i="2"/>
  <c r="H77" i="2"/>
  <c r="H107" i="2"/>
  <c r="H125" i="2"/>
  <c r="H172" i="2"/>
  <c r="A9" i="1"/>
  <c r="H17" i="2"/>
  <c r="H23" i="2"/>
  <c r="H41" i="2"/>
  <c r="H137" i="2"/>
  <c r="H8" i="2"/>
  <c r="H47" i="2"/>
  <c r="H78" i="2"/>
  <c r="H119" i="2"/>
  <c r="H149" i="2"/>
  <c r="H72" i="2"/>
  <c r="H102" i="2"/>
  <c r="H35" i="2"/>
  <c r="H90" i="2"/>
  <c r="H114" i="2"/>
  <c r="H144" i="2"/>
  <c r="H167" i="2"/>
  <c r="H30" i="2"/>
  <c r="H156" i="2"/>
  <c r="H179" i="2"/>
  <c r="H9" i="2"/>
  <c r="H67" i="2"/>
  <c r="H162" i="2"/>
  <c r="H109" i="2"/>
  <c r="H121" i="2"/>
  <c r="I20" i="2" l="1"/>
  <c r="J9" i="2"/>
  <c r="C5" i="1" s="1"/>
  <c r="I9" i="2"/>
  <c r="B5" i="1" s="1"/>
  <c r="J10" i="2"/>
  <c r="C6" i="1" s="1"/>
  <c r="J7" i="2"/>
  <c r="C3" i="1" s="1"/>
  <c r="J12" i="2"/>
  <c r="C8" i="1" s="1"/>
  <c r="J11" i="2"/>
  <c r="C7" i="1" s="1"/>
  <c r="J13" i="2"/>
  <c r="C9" i="1" s="1"/>
  <c r="J15" i="2"/>
  <c r="C11" i="1" s="1"/>
  <c r="J8" i="2"/>
  <c r="C4" i="1" s="1"/>
  <c r="I8" i="2"/>
  <c r="B4" i="1" s="1"/>
  <c r="J14" i="2"/>
  <c r="C10" i="1" s="1"/>
  <c r="A2" i="1"/>
  <c r="H6" i="2"/>
  <c r="I6" i="2" s="1"/>
  <c r="B2" i="1" s="1"/>
  <c r="I12" i="2" l="1"/>
  <c r="B8" i="1" s="1"/>
  <c r="I10" i="2"/>
  <c r="B6" i="1" s="1"/>
  <c r="I11" i="2"/>
  <c r="B7" i="1" s="1"/>
  <c r="I13" i="2"/>
  <c r="B9" i="1" s="1"/>
  <c r="L7" i="2"/>
  <c r="L8" i="2"/>
  <c r="I14" i="2"/>
  <c r="B10" i="1" s="1"/>
  <c r="J6" i="2"/>
  <c r="C2" i="1" s="1"/>
  <c r="I15" i="2"/>
  <c r="B11" i="1" s="1"/>
  <c r="L6" i="2" l="1"/>
  <c r="L9" i="2"/>
  <c r="L10" i="2"/>
  <c r="L11" i="2"/>
  <c r="L12" i="2"/>
  <c r="L15" i="2"/>
  <c r="L14" i="2"/>
  <c r="L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<sst xmlns="http://schemas.openxmlformats.org/spreadsheetml/2006/main" count="297" uniqueCount="296">
  <si>
    <t>Z41</t>
  </si>
  <si>
    <t>X41</t>
  </si>
  <si>
    <t>V41</t>
  </si>
  <si>
    <t>U41</t>
  </si>
  <si>
    <t>Q41</t>
  </si>
  <si>
    <t>N41</t>
  </si>
  <si>
    <t>M41</t>
  </si>
  <si>
    <t>K41</t>
  </si>
  <si>
    <t>J41</t>
  </si>
  <si>
    <t>H41</t>
  </si>
  <si>
    <t>G41</t>
  </si>
  <si>
    <t>F41</t>
  </si>
  <si>
    <t>Z40</t>
  </si>
  <si>
    <t>X40</t>
  </si>
  <si>
    <t>V40</t>
  </si>
  <si>
    <t>U40</t>
  </si>
  <si>
    <t>Q40</t>
  </si>
  <si>
    <t>N40</t>
  </si>
  <si>
    <t>M40</t>
  </si>
  <si>
    <t>K40</t>
  </si>
  <si>
    <t>J40</t>
  </si>
  <si>
    <t>H40</t>
  </si>
  <si>
    <t>G40</t>
  </si>
  <si>
    <t>F40</t>
  </si>
  <si>
    <t>Z39</t>
  </si>
  <si>
    <t>X39</t>
  </si>
  <si>
    <t>V39</t>
  </si>
  <si>
    <t>U39</t>
  </si>
  <si>
    <t>Q39</t>
  </si>
  <si>
    <t>N39</t>
  </si>
  <si>
    <t>M39</t>
  </si>
  <si>
    <t>K39</t>
  </si>
  <si>
    <t>J39</t>
  </si>
  <si>
    <t>H39</t>
  </si>
  <si>
    <t>G39</t>
  </si>
  <si>
    <t>F39</t>
  </si>
  <si>
    <t>Z38</t>
  </si>
  <si>
    <t>X38</t>
  </si>
  <si>
    <t>V38</t>
  </si>
  <si>
    <t>U38</t>
  </si>
  <si>
    <t>Q38</t>
  </si>
  <si>
    <t>N38</t>
  </si>
  <si>
    <t>M38</t>
  </si>
  <si>
    <t>K38</t>
  </si>
  <si>
    <t>J38</t>
  </si>
  <si>
    <t>H38</t>
  </si>
  <si>
    <t>G38</t>
  </si>
  <si>
    <t>F38</t>
  </si>
  <si>
    <t>Z37</t>
  </si>
  <si>
    <t>X37</t>
  </si>
  <si>
    <t>V37</t>
  </si>
  <si>
    <t>U37</t>
  </si>
  <si>
    <t>Q37</t>
  </si>
  <si>
    <t>N37</t>
  </si>
  <si>
    <t>M37</t>
  </si>
  <si>
    <t>K37</t>
  </si>
  <si>
    <t>J37</t>
  </si>
  <si>
    <t>H37</t>
  </si>
  <si>
    <t>G37</t>
  </si>
  <si>
    <t>F37</t>
  </si>
  <si>
    <t>Z36</t>
  </si>
  <si>
    <t>X36</t>
  </si>
  <si>
    <t>V36</t>
  </si>
  <si>
    <t>U36</t>
  </si>
  <si>
    <t>Q36</t>
  </si>
  <si>
    <t>N36</t>
  </si>
  <si>
    <t>M36</t>
  </si>
  <si>
    <t>K36</t>
  </si>
  <si>
    <t>J36</t>
  </si>
  <si>
    <t>H36</t>
  </si>
  <si>
    <t>G36</t>
  </si>
  <si>
    <t>F36</t>
  </si>
  <si>
    <t>Z35</t>
  </si>
  <si>
    <t>X35</t>
  </si>
  <si>
    <t>V35</t>
  </si>
  <si>
    <t>U35</t>
  </si>
  <si>
    <t>Q35</t>
  </si>
  <si>
    <t>N35</t>
  </si>
  <si>
    <t>M35</t>
  </si>
  <si>
    <t>K35</t>
  </si>
  <si>
    <t>J35</t>
  </si>
  <si>
    <t>H35</t>
  </si>
  <si>
    <t>G35</t>
  </si>
  <si>
    <t>F35</t>
  </si>
  <si>
    <t>Z34</t>
  </si>
  <si>
    <t>X34</t>
  </si>
  <si>
    <t>V34</t>
  </si>
  <si>
    <t>U34</t>
  </si>
  <si>
    <t>Q34</t>
  </si>
  <si>
    <t>N34</t>
  </si>
  <si>
    <t>M34</t>
  </si>
  <si>
    <t>K34</t>
  </si>
  <si>
    <t>J34</t>
  </si>
  <si>
    <t>H34</t>
  </si>
  <si>
    <t>G34</t>
  </si>
  <si>
    <t>F34</t>
  </si>
  <si>
    <t>Z33</t>
  </si>
  <si>
    <t>X33</t>
  </si>
  <si>
    <t>V33</t>
  </si>
  <si>
    <t>U33</t>
  </si>
  <si>
    <t>Q33</t>
  </si>
  <si>
    <t>N33</t>
  </si>
  <si>
    <t>M33</t>
  </si>
  <si>
    <t>K33</t>
  </si>
  <si>
    <t>J33</t>
  </si>
  <si>
    <t>H33</t>
  </si>
  <si>
    <t>G33</t>
  </si>
  <si>
    <t>F33</t>
  </si>
  <si>
    <t>Z32</t>
  </si>
  <si>
    <t>X32</t>
  </si>
  <si>
    <t>V32</t>
  </si>
  <si>
    <t>U32</t>
  </si>
  <si>
    <t>Q32</t>
  </si>
  <si>
    <t>N32</t>
  </si>
  <si>
    <t>M32</t>
  </si>
  <si>
    <t>K32</t>
  </si>
  <si>
    <t>J32</t>
  </si>
  <si>
    <t>H32</t>
  </si>
  <si>
    <t>G32</t>
  </si>
  <si>
    <t>F32</t>
  </si>
  <si>
    <t>Z31</t>
  </si>
  <si>
    <t>X31</t>
  </si>
  <si>
    <t>V31</t>
  </si>
  <si>
    <t>U31</t>
  </si>
  <si>
    <t>Q31</t>
  </si>
  <si>
    <t>N31</t>
  </si>
  <si>
    <t>M31</t>
  </si>
  <si>
    <t>K31</t>
  </si>
  <si>
    <t>J31</t>
  </si>
  <si>
    <t>H31</t>
  </si>
  <si>
    <t>G31</t>
  </si>
  <si>
    <t>F31</t>
  </si>
  <si>
    <t>Z30</t>
  </si>
  <si>
    <t>X30</t>
  </si>
  <si>
    <t>V30</t>
  </si>
  <si>
    <t>U30</t>
  </si>
  <si>
    <t>Q30</t>
  </si>
  <si>
    <t>N30</t>
  </si>
  <si>
    <t>M30</t>
  </si>
  <si>
    <t>K30</t>
  </si>
  <si>
    <t>J30</t>
  </si>
  <si>
    <t>H30</t>
  </si>
  <si>
    <t>G30</t>
  </si>
  <si>
    <t>F30</t>
  </si>
  <si>
    <t>Z29</t>
  </si>
  <si>
    <t>X29</t>
  </si>
  <si>
    <t>V29</t>
  </si>
  <si>
    <t>U29</t>
  </si>
  <si>
    <t>Q29</t>
  </si>
  <si>
    <t>N29</t>
  </si>
  <si>
    <t>M29</t>
  </si>
  <si>
    <t>K29</t>
  </si>
  <si>
    <t>J29</t>
  </si>
  <si>
    <t>H29</t>
  </si>
  <si>
    <t>G29</t>
  </si>
  <si>
    <t>F29</t>
  </si>
  <si>
    <t>Z28</t>
  </si>
  <si>
    <t>X28</t>
  </si>
  <si>
    <t>V28</t>
  </si>
  <si>
    <t>U28</t>
  </si>
  <si>
    <t>Q28</t>
  </si>
  <si>
    <t>N28</t>
  </si>
  <si>
    <t>M28</t>
  </si>
  <si>
    <t>K28</t>
  </si>
  <si>
    <t>J28</t>
  </si>
  <si>
    <t>H28</t>
  </si>
  <si>
    <t>G28</t>
  </si>
  <si>
    <t>F28</t>
  </si>
  <si>
    <t>Z27</t>
  </si>
  <si>
    <t>X27</t>
  </si>
  <si>
    <t>V27</t>
  </si>
  <si>
    <t>U27</t>
  </si>
  <si>
    <t>Q27</t>
  </si>
  <si>
    <t>N27</t>
  </si>
  <si>
    <t>M27</t>
  </si>
  <si>
    <t>K27</t>
  </si>
  <si>
    <t>J27</t>
  </si>
  <si>
    <t>H27</t>
  </si>
  <si>
    <t>G27</t>
  </si>
  <si>
    <t>F27</t>
  </si>
  <si>
    <t>Z26</t>
  </si>
  <si>
    <t>X26</t>
  </si>
  <si>
    <t>V26</t>
  </si>
  <si>
    <t>U26</t>
  </si>
  <si>
    <t>Q26</t>
  </si>
  <si>
    <t>N26</t>
  </si>
  <si>
    <t>M26</t>
  </si>
  <si>
    <t>K26</t>
  </si>
  <si>
    <t>J26</t>
  </si>
  <si>
    <t>H26</t>
  </si>
  <si>
    <t>G26</t>
  </si>
  <si>
    <t>F26</t>
  </si>
  <si>
    <t>Z25</t>
  </si>
  <si>
    <t>X25</t>
  </si>
  <si>
    <t>V25</t>
  </si>
  <si>
    <t>U25</t>
  </si>
  <si>
    <t>Q25</t>
  </si>
  <si>
    <t>N25</t>
  </si>
  <si>
    <t>M25</t>
  </si>
  <si>
    <t>K25</t>
  </si>
  <si>
    <t>J25</t>
  </si>
  <si>
    <t>H25</t>
  </si>
  <si>
    <t>G25</t>
  </si>
  <si>
    <t>F25</t>
  </si>
  <si>
    <t>Z24</t>
  </si>
  <si>
    <t>X24</t>
  </si>
  <si>
    <t>V24</t>
  </si>
  <si>
    <t>U24</t>
  </si>
  <si>
    <t>Q24</t>
  </si>
  <si>
    <t>N24</t>
  </si>
  <si>
    <t>M24</t>
  </si>
  <si>
    <t>K24</t>
  </si>
  <si>
    <t>J24</t>
  </si>
  <si>
    <t>H24</t>
  </si>
  <si>
    <t>G24</t>
  </si>
  <si>
    <t>F24</t>
  </si>
  <si>
    <t>Z23</t>
  </si>
  <si>
    <t>X23</t>
  </si>
  <si>
    <t>V23</t>
  </si>
  <si>
    <t>U23</t>
  </si>
  <si>
    <t>Q23</t>
  </si>
  <si>
    <t>N23</t>
  </si>
  <si>
    <t>M23</t>
  </si>
  <si>
    <t>K23</t>
  </si>
  <si>
    <t>J23</t>
  </si>
  <si>
    <t>H23</t>
  </si>
  <si>
    <t>G23</t>
  </si>
  <si>
    <t>F23</t>
  </si>
  <si>
    <t>Z22</t>
  </si>
  <si>
    <t>X22</t>
  </si>
  <si>
    <t>V22</t>
  </si>
  <si>
    <t>U22</t>
  </si>
  <si>
    <t>Q22</t>
  </si>
  <si>
    <t>SPX latest</t>
  </si>
  <si>
    <t>N22</t>
  </si>
  <si>
    <t>VOXX latest</t>
  </si>
  <si>
    <t>M22</t>
  </si>
  <si>
    <t>VIX latest</t>
  </si>
  <si>
    <t>K22</t>
  </si>
  <si>
    <t>J22</t>
  </si>
  <si>
    <t>H22</t>
  </si>
  <si>
    <t>G22</t>
  </si>
  <si>
    <t>F22</t>
  </si>
  <si>
    <t>Z21</t>
  </si>
  <si>
    <t>Dec</t>
  </si>
  <si>
    <t>Z</t>
  </si>
  <si>
    <t>X21</t>
  </si>
  <si>
    <t>Nov</t>
  </si>
  <si>
    <t>X</t>
  </si>
  <si>
    <t>V21</t>
  </si>
  <si>
    <t>Oct</t>
  </si>
  <si>
    <t>V</t>
  </si>
  <si>
    <t>U21</t>
  </si>
  <si>
    <t>Sep</t>
  </si>
  <si>
    <t>U</t>
  </si>
  <si>
    <t>Q21</t>
  </si>
  <si>
    <t>Aug</t>
  </si>
  <si>
    <t>Q</t>
  </si>
  <si>
    <t>N21</t>
  </si>
  <si>
    <t>Jul</t>
  </si>
  <si>
    <t>N</t>
  </si>
  <si>
    <t>M21</t>
  </si>
  <si>
    <t>Jun</t>
  </si>
  <si>
    <t>M</t>
  </si>
  <si>
    <t>K21</t>
  </si>
  <si>
    <t>May</t>
  </si>
  <si>
    <t>K</t>
  </si>
  <si>
    <t>J21</t>
  </si>
  <si>
    <t>Apr</t>
  </si>
  <si>
    <t>J</t>
  </si>
  <si>
    <t>H21</t>
  </si>
  <si>
    <t>Mar</t>
  </si>
  <si>
    <t>H</t>
  </si>
  <si>
    <t>G21</t>
  </si>
  <si>
    <t>Feb</t>
  </si>
  <si>
    <t>G</t>
  </si>
  <si>
    <t>F21</t>
  </si>
  <si>
    <t>Jan</t>
  </si>
  <si>
    <t>F</t>
  </si>
  <si>
    <t>Settle</t>
  </si>
  <si>
    <t>Last</t>
  </si>
  <si>
    <t>live contracts from 1st</t>
  </si>
  <si>
    <t>cont</t>
  </si>
  <si>
    <t>start of tenure (SR3)</t>
  </si>
  <si>
    <t>third Friday-30</t>
  </si>
  <si>
    <t>third Friday</t>
  </si>
  <si>
    <t>year of +1 month</t>
  </si>
  <si>
    <t>month+1</t>
  </si>
  <si>
    <t>CFE</t>
  </si>
  <si>
    <t>maturiry date</t>
  </si>
  <si>
    <t>VX/FVS</t>
  </si>
  <si>
    <t>row # of 1st live</t>
  </si>
  <si>
    <t xml:space="preserve">hence first contract </t>
  </si>
  <si>
    <t>today's date</t>
  </si>
  <si>
    <t>S1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</si>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</sst>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left"/>
    </xf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1" fillId="0" borderId="0" xfId="0" applyFont="1"/>
    <xf numFmtId="14" fontId="1" fillId="0" borderId="0" xfId="0" applyNumberFormat="1" applyFont="1"/>
    <xf numFmtId="164" fontId="0" fillId="0" borderId="0" xfId="0" applyNumberForma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1" fillId="0" borderId="2" xfId="0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t.rtd">
      <tp t="s">
        <v>"Invalid instrument"</v>
        <stp/>
        <stp>Instr</stp>
        <stp>CFE</stp>
        <stp>VX</stp>
        <stp>FUTURE</stp>
        <stp>Jun27</stp>
        <stp>Last</stp>
        <tr r="I15" s="2"/>
      </tp>
      <tp t="s">
        <v>20.650</v>
        <stp/>
        <stp>Instr</stp>
        <stp>CFE</stp>
        <stp>VX</stp>
        <stp>FUTURE</stp>
        <stp>Jan27</stp>
        <stp>Last</stp>
        <tr r="I10" s="2"/>
        <tr r="I10" s="2"/>
      </tp>
      <tp t="s">
        <v>21.450</v>
        <stp/>
        <stp>Instr</stp>
        <stp>CFE</stp>
        <stp>VX</stp>
        <stp>FUTURE</stp>
        <stp>Mar27</stp>
        <stp>Last</stp>
        <tr r="I12" s="2"/>
        <tr r="I12" s="2"/>
      </tp>
      <tp t="s">
        <v/>
        <stp/>
        <stp>Instr</stp>
        <stp>CFE</stp>
        <stp>VX</stp>
        <stp>FUTURE</stp>
        <stp>May27</stp>
        <stp>Last</stp>
        <tr r="I14" s="2"/>
      </tp>
      <tp t="s">
        <v>19.450</v>
        <stp/>
        <stp>Instr</stp>
        <stp>CFE</stp>
        <stp>VX</stp>
        <stp>FUTURE</stp>
        <stp>Nov26</stp>
        <stp>Last</stp>
        <tr r="I8" s="2"/>
        <tr r="I8" s="2"/>
      </tp>
      <tp t="s">
        <v>18.850</v>
        <stp/>
        <stp>Instr</stp>
        <stp>CFE</stp>
        <stp>VX</stp>
        <stp>FUTURE</stp>
        <stp>Oct26</stp>
        <stp>Last</stp>
        <tr r="I7" s="2"/>
        <tr r="I7" s="2"/>
      </tp>
      <tp t="s">
        <v>21.750</v>
        <stp/>
        <stp>Instr</stp>
        <stp>CFE</stp>
        <stp>VX</stp>
        <stp>FUTURE</stp>
        <stp>Apr27</stp>
        <stp>Last</stp>
        <tr r="I13" s="2"/>
        <tr r="I13" s="2"/>
      </tp>
      <tp t="s">
        <v>19.600</v>
        <stp/>
        <stp>Instr</stp>
        <stp>CFE</stp>
        <stp>VX</stp>
        <stp>FUTURE</stp>
        <stp>Dec26</stp>
        <stp>Last</stp>
        <tr r="I9" s="2"/>
        <tr r="I9" s="2"/>
      </tp>
      <tp t="s">
        <v>21.200</v>
        <stp/>
        <stp>Instr</stp>
        <stp>CFE</stp>
        <stp>VX</stp>
        <stp>FUTURE</stp>
        <stp>Feb27</stp>
        <stp>Last</stp>
        <tr r="I11" s="2"/>
        <tr r="I11" s="2"/>
      </tp>
      <tp t="s">
        <v>17.050</v>
        <stp/>
        <stp>Instr</stp>
        <stp>CFE</stp>
        <stp>VX</stp>
        <stp>FUTURE</stp>
        <stp>Sep26</stp>
        <stp>Last</stp>
        <tr r="I6" s="2"/>
        <tr r="I6" s="2"/>
      </tp>
    </main>
    <main first="tt.rtd">
      <tp t="s">
        <v>Open</v>
        <stp/>
        <stp>Instr</stp>
        <stp>CFE</stp>
        <stp>VX</stp>
        <stp>FUTURE</stp>
        <stp>Oct26</stp>
        <stp>STATUS</stp>
        <tr r="I20" s="2"/>
      </tp>
    </main>
    <main first="tt.rtd">
      <tp t="s">
        <v>21.700</v>
        <stp/>
        <stp>Instr</stp>
        <stp>CFE</stp>
        <stp>VX</stp>
        <stp>FUTURE</stp>
        <stp>Apr27</stp>
        <stp>Settle</stp>
        <tr r="J13" s="2"/>
        <tr r="J13" s="2"/>
      </tp>
    </main>
    <main first="tt.rtd">
      <tp t="s">
        <v>"Invalid instrument"</v>
        <stp/>
        <stp>Instr</stp>
        <stp>CFE</stp>
        <stp>VX</stp>
        <stp>FUTURE</stp>
        <stp>Jun27</stp>
        <stp>Settle</stp>
        <tr r="J15" s="2"/>
      </tp>
    </main>
    <main first="tt.rtd">
      <tp t="s">
        <v>19.3599</v>
        <stp/>
        <stp>Instr</stp>
        <stp>CFE</stp>
        <stp>VX</stp>
        <stp>FUTURE</stp>
        <stp>Nov26</stp>
        <stp>Settle</stp>
        <tr r="J8" s="2"/>
        <tr r="J8" s="2"/>
      </tp>
      <tp t="s">
        <v>20.6476</v>
        <stp/>
        <stp>Instr</stp>
        <stp>CFE</stp>
        <stp>VX</stp>
        <stp>FUTURE</stp>
        <stp>Jan27</stp>
        <stp>Settle</stp>
        <tr r="J10" s="2"/>
        <tr r="J10" s="2"/>
      </tp>
      <tp t="s">
        <v>21.425</v>
        <stp/>
        <stp>Instr</stp>
        <stp>CFE</stp>
        <stp>VX</stp>
        <stp>FUTURE</stp>
        <stp>Mar27</stp>
        <stp>Settle</stp>
        <tr r="J12" s="2"/>
        <tr r="J12" s="2"/>
      </tp>
      <tp t="s">
        <v>21.975</v>
        <stp/>
        <stp>Instr</stp>
        <stp>CFE</stp>
        <stp>VX</stp>
        <stp>FUTURE</stp>
        <stp>May27</stp>
        <stp>Settle</stp>
        <tr r="J14" s="2"/>
        <tr r="J14" s="2"/>
      </tp>
      <tp t="s">
        <v>18.7002</v>
        <stp/>
        <stp>Instr</stp>
        <stp>CFE</stp>
        <stp>VX</stp>
        <stp>FUTURE</stp>
        <stp>Oct26</stp>
        <stp>Settle</stp>
        <tr r="J7" s="2"/>
        <tr r="J7" s="2"/>
      </tp>
      <tp t="s">
        <v>19.5021</v>
        <stp/>
        <stp>Instr</stp>
        <stp>CFE</stp>
        <stp>VX</stp>
        <stp>FUTURE</stp>
        <stp>Dec26</stp>
        <stp>Settle</stp>
        <tr r="J9" s="2"/>
        <tr r="J9" s="2"/>
      </tp>
      <tp t="s">
        <v>21.1518</v>
        <stp/>
        <stp>Instr</stp>
        <stp>CFE</stp>
        <stp>VX</stp>
        <stp>FUTURE</stp>
        <stp>Feb27</stp>
        <stp>Settle</stp>
        <tr r="J11" s="2"/>
        <tr r="J11" s="2"/>
      </tp>
      <tp t="s">
        <v>16.9353</v>
        <stp/>
        <stp>Instr</stp>
        <stp>CFE</stp>
        <stp>VX</stp>
        <stp>FUTURE</stp>
        <stp>Sep26</stp>
        <stp>Settle</stp>
        <tr r="J6" s="2"/>
        <tr r="J6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72c7af4dbece44/Documents/python/vix-dashboard-main/vix%20voxx%20seasonal.xlsx" TargetMode="External"/><Relationship Id="rId1" Type="http://schemas.openxmlformats.org/officeDocument/2006/relationships/externalLinkPath" Target="vix%20voxx%20seas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XX"/>
      <sheetName val="VIX"/>
      <sheetName val="tenure"/>
      <sheetName val="SPX"/>
    </sheetNames>
    <sheetDataSet>
      <sheetData sheetId="0">
        <row r="4">
          <cell r="B4">
            <v>46258</v>
          </cell>
        </row>
      </sheetData>
      <sheetData sheetId="1">
        <row r="4">
          <cell r="B4">
            <v>46258</v>
          </cell>
        </row>
      </sheetData>
      <sheetData sheetId="2" refreshError="1"/>
      <sheetData sheetId="3">
        <row r="4">
          <cell r="B4">
            <v>46258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88CB-2F5C-49B2-88EC-482FF7816AA5}">
  <dimension ref="A1:E11"/>
  <sheetViews>
    <sheetView tabSelected="1" workbookViewId="0">
      <selection activeCell="H7" sqref="H7"/>
    </sheetView>
  </sheetViews>
  <sheetFormatPr defaultRowHeight="15" x14ac:dyDescent="0.25"/>
  <cols>
    <col min="1" max="1" width="11.140625" customWidth="1"/>
  </cols>
  <sheetData>
    <row r="1" spans="1:5" x14ac:dyDescent="0.25">
      <c r="E1" s="1"/>
    </row>
    <row r="2" spans="1:5" x14ac:dyDescent="0.25">
      <c r="A2" t="str">
        <f ca="1">"UX" &amp;tenure!G6&amp; " Index"</f>
        <v>UXU26 Index</v>
      </c>
      <c r="B2" t="str">
        <f ca="1">tenure!I6</f>
        <v>17.050</v>
      </c>
      <c r="C2" t="str">
        <f ca="1">tenure!J6</f>
        <v>16.9353</v>
      </c>
    </row>
    <row r="3" spans="1:5" x14ac:dyDescent="0.25">
      <c r="A3" t="str">
        <f ca="1">"UX" &amp;tenure!G7&amp; " Index"</f>
        <v>UXV26 Index</v>
      </c>
      <c r="B3" t="str">
        <f ca="1">tenure!I7</f>
        <v>18.850</v>
      </c>
      <c r="C3" t="str">
        <f ca="1">tenure!J7</f>
        <v>18.7002</v>
      </c>
    </row>
    <row r="4" spans="1:5" x14ac:dyDescent="0.25">
      <c r="A4" t="str">
        <f ca="1">"UX" &amp;tenure!G8&amp; " Index"</f>
        <v>UXX26 Index</v>
      </c>
      <c r="B4" t="str">
        <f ca="1">tenure!I8</f>
        <v>19.450</v>
      </c>
      <c r="C4" t="str">
        <f ca="1">tenure!J8</f>
        <v>19.3599</v>
      </c>
    </row>
    <row r="5" spans="1:5" x14ac:dyDescent="0.25">
      <c r="A5" t="str">
        <f ca="1">"UX" &amp;tenure!G9&amp; " Index"</f>
        <v>UXZ26 Index</v>
      </c>
      <c r="B5" t="str">
        <f ca="1">tenure!I9</f>
        <v>19.600</v>
      </c>
      <c r="C5" t="str">
        <f ca="1">tenure!J9</f>
        <v>19.5021</v>
      </c>
    </row>
    <row r="6" spans="1:5" x14ac:dyDescent="0.25">
      <c r="A6" t="str">
        <f ca="1">"UX" &amp;tenure!G10&amp; " Index"</f>
        <v>UXF27 Index</v>
      </c>
      <c r="B6" t="str">
        <f ca="1">tenure!I10</f>
        <v>20.650</v>
      </c>
      <c r="C6" t="str">
        <f ca="1">tenure!J10</f>
        <v>20.6476</v>
      </c>
    </row>
    <row r="7" spans="1:5" x14ac:dyDescent="0.25">
      <c r="A7" t="str">
        <f ca="1">"UX" &amp;tenure!G11&amp; " Index"</f>
        <v>UXG27 Index</v>
      </c>
      <c r="B7" t="str">
        <f ca="1">tenure!I11</f>
        <v>21.200</v>
      </c>
      <c r="C7" t="str">
        <f ca="1">tenure!J11</f>
        <v>21.1518</v>
      </c>
    </row>
    <row r="8" spans="1:5" x14ac:dyDescent="0.25">
      <c r="A8" t="str">
        <f ca="1">"UX" &amp;tenure!G12&amp; " Index"</f>
        <v>UXH27 Index</v>
      </c>
      <c r="B8" t="str">
        <f ca="1">tenure!I12</f>
        <v>21.450</v>
      </c>
      <c r="C8" t="str">
        <f ca="1">tenure!J12</f>
        <v>21.425</v>
      </c>
    </row>
    <row r="9" spans="1:5" x14ac:dyDescent="0.25">
      <c r="A9" t="str">
        <f ca="1">"UX" &amp;tenure!G13&amp; " Index"</f>
        <v>UXJ27 Index</v>
      </c>
      <c r="B9" t="str">
        <f ca="1">tenure!I13</f>
        <v>21.750</v>
      </c>
      <c r="C9" t="str">
        <f ca="1">tenure!J13</f>
        <v>21.700</v>
      </c>
    </row>
    <row r="10" spans="1:5" x14ac:dyDescent="0.25">
      <c r="A10" t="str">
        <f ca="1">"UX" &amp;tenure!G14&amp; " Index"</f>
        <v>UXK27 Index</v>
      </c>
      <c r="B10" t="str">
        <f ca="1">tenure!I14</f>
        <v>21.975</v>
      </c>
      <c r="C10" t="str">
        <f ca="1">tenure!J14</f>
        <v>21.975</v>
      </c>
    </row>
    <row r="11" spans="1:5" x14ac:dyDescent="0.25">
      <c r="A11" t="str">
        <f ca="1">"UX" &amp;tenure!G15&amp; " Index"</f>
        <v>UXM27 Index</v>
      </c>
      <c r="B11" t="e">
        <f ca="1">tenure!I15</f>
        <v>#N/A</v>
      </c>
      <c r="C11" t="e">
        <f ca="1">tenure!J15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CEEE-40A9-4503-ADAF-79238990DD05}">
  <dimension ref="A1:R257"/>
  <sheetViews>
    <sheetView workbookViewId="0">
      <selection activeCell="H6" sqref="H6"/>
    </sheetView>
  </sheetViews>
  <sheetFormatPr defaultColWidth="8.85546875" defaultRowHeight="15" x14ac:dyDescent="0.25"/>
  <cols>
    <col min="1" max="1" width="14.7109375" customWidth="1"/>
    <col min="2" max="2" width="9" customWidth="1"/>
    <col min="3" max="3" width="10.42578125" bestFit="1" customWidth="1"/>
    <col min="4" max="4" width="12.28515625" customWidth="1"/>
    <col min="5" max="5" width="11.28515625" customWidth="1"/>
    <col min="6" max="6" width="8.85546875" style="2"/>
    <col min="11" max="11" width="13.7109375" customWidth="1"/>
  </cols>
  <sheetData>
    <row r="1" spans="1:18" x14ac:dyDescent="0.25">
      <c r="A1" s="16" t="s">
        <v>293</v>
      </c>
      <c r="B1" s="16"/>
      <c r="C1" s="16" t="s">
        <v>292</v>
      </c>
      <c r="D1" s="16"/>
      <c r="E1" s="16" t="s">
        <v>291</v>
      </c>
      <c r="F1"/>
      <c r="H1" s="15"/>
    </row>
    <row r="2" spans="1:18" x14ac:dyDescent="0.25">
      <c r="A2" s="4">
        <f ca="1">TODAY()</f>
        <v>46265</v>
      </c>
      <c r="C2" t="str">
        <f ca="1">LOOKUP($A$2, $E$6:$E$257, $F$6:$F$257)</f>
        <v>U26</v>
      </c>
      <c r="E2">
        <f ca="1">MATCH(C2, $F$6:$F$257, 0)</f>
        <v>69</v>
      </c>
      <c r="F2"/>
      <c r="H2" s="13"/>
    </row>
    <row r="3" spans="1:18" x14ac:dyDescent="0.25">
      <c r="A3" s="5"/>
      <c r="F3"/>
      <c r="H3" s="13"/>
    </row>
    <row r="4" spans="1:18" x14ac:dyDescent="0.25">
      <c r="A4" s="18" t="s">
        <v>290</v>
      </c>
      <c r="D4" t="s">
        <v>289</v>
      </c>
      <c r="F4"/>
      <c r="H4" s="13"/>
      <c r="I4" t="s">
        <v>288</v>
      </c>
    </row>
    <row r="5" spans="1:18" x14ac:dyDescent="0.25">
      <c r="A5" s="5" t="s">
        <v>287</v>
      </c>
      <c r="B5" t="s">
        <v>286</v>
      </c>
      <c r="C5" t="s">
        <v>285</v>
      </c>
      <c r="D5" t="s">
        <v>284</v>
      </c>
      <c r="E5" t="s">
        <v>283</v>
      </c>
      <c r="F5" t="s">
        <v>282</v>
      </c>
      <c r="G5" t="s">
        <v>281</v>
      </c>
      <c r="H5" t="s">
        <v>281</v>
      </c>
      <c r="I5" t="s">
        <v>280</v>
      </c>
      <c r="J5" t="s">
        <v>279</v>
      </c>
      <c r="L5" t="s">
        <v>294</v>
      </c>
      <c r="P5" s="17" t="s">
        <v>278</v>
      </c>
      <c r="Q5" s="16">
        <v>1</v>
      </c>
      <c r="R5" s="15" t="s">
        <v>277</v>
      </c>
    </row>
    <row r="6" spans="1:18" x14ac:dyDescent="0.25">
      <c r="A6" s="5">
        <f t="shared" ref="A6:A69" si="0">MOD(VLOOKUP(LEFT(F6,1),$P$5:$Q$16,2,0),12)+1</f>
        <v>2</v>
      </c>
      <c r="B6" t="str">
        <f t="shared" ref="B6:B69" si="1">IF(A6&gt;1, RIGHT(F6,2),RIGHT(F7,2))</f>
        <v>21</v>
      </c>
      <c r="C6" s="4">
        <f t="shared" ref="C6:C69" si="2">DATE(B6+100, A6, 1) + 14 + MOD(6 - WEEKDAY(DATE(B6+100, A6, 1)), 7)</f>
        <v>44246</v>
      </c>
      <c r="D6" s="4">
        <f t="shared" ref="D6:D69" si="3">C6-30</f>
        <v>44216</v>
      </c>
      <c r="E6" t="e">
        <f t="shared" ref="E6:E69" si="4">D5+1</f>
        <v>#VALUE!</v>
      </c>
      <c r="F6" s="2" t="s">
        <v>276</v>
      </c>
      <c r="G6" t="str" cm="1">
        <f t="array" aca="1" ref="G6:G189" ca="1">_xlfn._xlws.FILTER( $F$6:$F$257, ROW( $F$6:$F$257) &gt;= $E$2+5, 0)</f>
        <v>U26</v>
      </c>
      <c r="H6" s="3" t="str">
        <f t="shared" ref="H6:H69" ca="1" si="5">VLOOKUP(LEFT(G6,1),$P$5:$R$16,3,0)&amp; RIGHT(G6,2)</f>
        <v>Sep26</v>
      </c>
      <c r="I6" s="10" t="str">
        <f ca="1">IF(ISNUMBER(VALUE(RTD("tt.rtd",,"Instr",$I$4,"VX","FUTURE",$H6,I$5))),RTD("tt.rtd",,"Instr",$I$4,"VX","FUTURE",$H6,I$5),J6)</f>
        <v>17.050</v>
      </c>
      <c r="J6" s="10" t="str">
        <f ca="1">IF(ISNUMBER(VALUE(RTD("tt.rtd",,"Instr",$I$4,"VX","FUTURE",$H6,J$5))),RTD("tt.rtd",,"Instr",$I$4,"VX","FUTURE",$H6,J$5),NA())</f>
        <v>16.9353</v>
      </c>
      <c r="L6">
        <f ca="1">(I6-I7)*100</f>
        <v>-180.00000000000006</v>
      </c>
      <c r="P6" s="14" t="s">
        <v>275</v>
      </c>
      <c r="Q6">
        <v>2</v>
      </c>
      <c r="R6" s="13" t="s">
        <v>274</v>
      </c>
    </row>
    <row r="7" spans="1:18" x14ac:dyDescent="0.25">
      <c r="A7" s="5">
        <f t="shared" si="0"/>
        <v>3</v>
      </c>
      <c r="B7" t="str">
        <f t="shared" si="1"/>
        <v>21</v>
      </c>
      <c r="C7" s="4">
        <f t="shared" si="2"/>
        <v>44274</v>
      </c>
      <c r="D7" s="4">
        <f t="shared" si="3"/>
        <v>44244</v>
      </c>
      <c r="E7" s="4">
        <f t="shared" si="4"/>
        <v>44217</v>
      </c>
      <c r="F7" s="2" t="s">
        <v>273</v>
      </c>
      <c r="G7" t="str">
        <f ca="1"/>
        <v>V26</v>
      </c>
      <c r="H7" s="3" t="str">
        <f t="shared" ca="1" si="5"/>
        <v>Oct26</v>
      </c>
      <c r="I7" s="10" t="str">
        <f ca="1">IF(ISNUMBER(VALUE(RTD("tt.rtd",,"Instr",$I$4,"VX","FUTURE",$H7,I$5))),RTD("tt.rtd",,"Instr",$I$4,"VX","FUTURE",$H7,I$5),J7)</f>
        <v>18.850</v>
      </c>
      <c r="J7" s="10" t="str">
        <f ca="1">IF(ISNUMBER(VALUE(RTD("tt.rtd",,"Instr",$I$4,"VX","FUTURE",$H7,J$5))),RTD("tt.rtd",,"Instr",$I$4,"VX","FUTURE",$H7,J$5),NA())</f>
        <v>18.7002</v>
      </c>
      <c r="L7">
        <f t="shared" ref="L7:L15" ca="1" si="6">(I7-I8)*100</f>
        <v>-59.999999999999787</v>
      </c>
      <c r="P7" s="14" t="s">
        <v>272</v>
      </c>
      <c r="Q7">
        <v>3</v>
      </c>
      <c r="R7" s="13" t="s">
        <v>271</v>
      </c>
    </row>
    <row r="8" spans="1:18" x14ac:dyDescent="0.25">
      <c r="A8" s="5">
        <f t="shared" si="0"/>
        <v>4</v>
      </c>
      <c r="B8" t="str">
        <f t="shared" si="1"/>
        <v>21</v>
      </c>
      <c r="C8" s="4">
        <f t="shared" si="2"/>
        <v>44302</v>
      </c>
      <c r="D8" s="4">
        <f t="shared" si="3"/>
        <v>44272</v>
      </c>
      <c r="E8">
        <f t="shared" si="4"/>
        <v>44245</v>
      </c>
      <c r="F8" s="2" t="s">
        <v>270</v>
      </c>
      <c r="G8" t="str">
        <f ca="1"/>
        <v>X26</v>
      </c>
      <c r="H8" s="3" t="str">
        <f t="shared" ca="1" si="5"/>
        <v>Nov26</v>
      </c>
      <c r="I8" s="10" t="str">
        <f ca="1">IF(ISNUMBER(VALUE(RTD("tt.rtd",,"Instr",$I$4,"VX","FUTURE",$H8,I$5))),RTD("tt.rtd",,"Instr",$I$4,"VX","FUTURE",$H8,I$5),J8)</f>
        <v>19.450</v>
      </c>
      <c r="J8" s="10" t="str">
        <f ca="1">IF(ISNUMBER(VALUE(RTD("tt.rtd",,"Instr",$I$4,"VX","FUTURE",$H8,J$5))),RTD("tt.rtd",,"Instr",$I$4,"VX","FUTURE",$H8,J$5),NA())</f>
        <v>19.3599</v>
      </c>
      <c r="L8">
        <f t="shared" ca="1" si="6"/>
        <v>-15.000000000000213</v>
      </c>
      <c r="P8" s="14" t="s">
        <v>269</v>
      </c>
      <c r="Q8">
        <v>4</v>
      </c>
      <c r="R8" s="13" t="s">
        <v>268</v>
      </c>
    </row>
    <row r="9" spans="1:18" x14ac:dyDescent="0.25">
      <c r="A9" s="5">
        <f t="shared" si="0"/>
        <v>5</v>
      </c>
      <c r="B9" t="str">
        <f t="shared" si="1"/>
        <v>21</v>
      </c>
      <c r="C9" s="4">
        <f t="shared" si="2"/>
        <v>44337</v>
      </c>
      <c r="D9" s="4">
        <f t="shared" si="3"/>
        <v>44307</v>
      </c>
      <c r="E9">
        <f t="shared" si="4"/>
        <v>44273</v>
      </c>
      <c r="F9" s="2" t="s">
        <v>267</v>
      </c>
      <c r="G9" t="str">
        <f ca="1"/>
        <v>Z26</v>
      </c>
      <c r="H9" s="3" t="str">
        <f t="shared" ca="1" si="5"/>
        <v>Dec26</v>
      </c>
      <c r="I9" s="10" t="str">
        <f ca="1">IF(ISNUMBER(VALUE(RTD("tt.rtd",,"Instr",$I$4,"VX","FUTURE",$H9,I$5))),RTD("tt.rtd",,"Instr",$I$4,"VX","FUTURE",$H9,I$5),J9)</f>
        <v>19.600</v>
      </c>
      <c r="J9" s="10" t="str">
        <f ca="1">IF(ISNUMBER(VALUE(RTD("tt.rtd",,"Instr",$I$4,"VX","FUTURE",$H9,J$5))),RTD("tt.rtd",,"Instr",$I$4,"VX","FUTURE",$H9,J$5),NA())</f>
        <v>19.5021</v>
      </c>
      <c r="L9">
        <f t="shared" ca="1" si="6"/>
        <v>-104.99999999999972</v>
      </c>
      <c r="P9" s="14" t="s">
        <v>266</v>
      </c>
      <c r="Q9">
        <v>5</v>
      </c>
      <c r="R9" s="13" t="s">
        <v>265</v>
      </c>
    </row>
    <row r="10" spans="1:18" x14ac:dyDescent="0.25">
      <c r="A10" s="5">
        <f t="shared" si="0"/>
        <v>6</v>
      </c>
      <c r="B10" t="str">
        <f t="shared" si="1"/>
        <v>21</v>
      </c>
      <c r="C10" s="4">
        <f t="shared" si="2"/>
        <v>44365</v>
      </c>
      <c r="D10" s="4">
        <f t="shared" si="3"/>
        <v>44335</v>
      </c>
      <c r="E10">
        <f t="shared" si="4"/>
        <v>44308</v>
      </c>
      <c r="F10" s="2" t="s">
        <v>264</v>
      </c>
      <c r="G10" t="str">
        <f ca="1"/>
        <v>F27</v>
      </c>
      <c r="H10" s="3" t="str">
        <f t="shared" ca="1" si="5"/>
        <v>Jan27</v>
      </c>
      <c r="I10" s="10" t="str">
        <f ca="1">IF(ISNUMBER(VALUE(RTD("tt.rtd",,"Instr",$I$4,"VX","FUTURE",$H10,I$5))),RTD("tt.rtd",,"Instr",$I$4,"VX","FUTURE",$H10,I$5),J10)</f>
        <v>20.650</v>
      </c>
      <c r="J10" s="10" t="str">
        <f ca="1">IF(ISNUMBER(VALUE(RTD("tt.rtd",,"Instr",$I$4,"VX","FUTURE",$H10,J$5))),RTD("tt.rtd",,"Instr",$I$4,"VX","FUTURE",$H10,J$5),NA())</f>
        <v>20.6476</v>
      </c>
      <c r="L10">
        <f t="shared" ca="1" si="6"/>
        <v>-55.000000000000071</v>
      </c>
      <c r="P10" s="14" t="s">
        <v>263</v>
      </c>
      <c r="Q10">
        <v>6</v>
      </c>
      <c r="R10" s="13" t="s">
        <v>262</v>
      </c>
    </row>
    <row r="11" spans="1:18" x14ac:dyDescent="0.25">
      <c r="A11" s="5">
        <f t="shared" si="0"/>
        <v>7</v>
      </c>
      <c r="B11" t="str">
        <f t="shared" si="1"/>
        <v>21</v>
      </c>
      <c r="C11" s="4">
        <f t="shared" si="2"/>
        <v>44393</v>
      </c>
      <c r="D11" s="4">
        <f t="shared" si="3"/>
        <v>44363</v>
      </c>
      <c r="E11">
        <f t="shared" si="4"/>
        <v>44336</v>
      </c>
      <c r="F11" s="2" t="s">
        <v>261</v>
      </c>
      <c r="G11" t="str">
        <f ca="1"/>
        <v>G27</v>
      </c>
      <c r="H11" s="3" t="str">
        <f t="shared" ca="1" si="5"/>
        <v>Feb27</v>
      </c>
      <c r="I11" s="10" t="str">
        <f ca="1">IF(ISNUMBER(VALUE(RTD("tt.rtd",,"Instr",$I$4,"VX","FUTURE",$H11,I$5))),RTD("tt.rtd",,"Instr",$I$4,"VX","FUTURE",$H11,I$5),J11)</f>
        <v>21.200</v>
      </c>
      <c r="J11" s="10" t="str">
        <f ca="1">IF(ISNUMBER(VALUE(RTD("tt.rtd",,"Instr",$I$4,"VX","FUTURE",$H11,J$5))),RTD("tt.rtd",,"Instr",$I$4,"VX","FUTURE",$H11,J$5),NA())</f>
        <v>21.1518</v>
      </c>
      <c r="L11">
        <f t="shared" ca="1" si="6"/>
        <v>-25</v>
      </c>
      <c r="P11" s="14" t="s">
        <v>260</v>
      </c>
      <c r="Q11">
        <v>7</v>
      </c>
      <c r="R11" s="13" t="s">
        <v>259</v>
      </c>
    </row>
    <row r="12" spans="1:18" x14ac:dyDescent="0.25">
      <c r="A12" s="5">
        <f t="shared" si="0"/>
        <v>8</v>
      </c>
      <c r="B12" t="str">
        <f t="shared" si="1"/>
        <v>21</v>
      </c>
      <c r="C12" s="4">
        <f t="shared" si="2"/>
        <v>44428</v>
      </c>
      <c r="D12" s="4">
        <f t="shared" si="3"/>
        <v>44398</v>
      </c>
      <c r="E12">
        <f t="shared" si="4"/>
        <v>44364</v>
      </c>
      <c r="F12" s="2" t="s">
        <v>258</v>
      </c>
      <c r="G12" t="str">
        <f ca="1"/>
        <v>H27</v>
      </c>
      <c r="H12" s="3" t="str">
        <f t="shared" ca="1" si="5"/>
        <v>Mar27</v>
      </c>
      <c r="I12" s="10" t="str">
        <f ca="1">IF(ISNUMBER(VALUE(RTD("tt.rtd",,"Instr",$I$4,"VX","FUTURE",$H12,I$5))),RTD("tt.rtd",,"Instr",$I$4,"VX","FUTURE",$H12,I$5),J12)</f>
        <v>21.450</v>
      </c>
      <c r="J12" s="10" t="str">
        <f ca="1">IF(ISNUMBER(VALUE(RTD("tt.rtd",,"Instr",$I$4,"VX","FUTURE",$H12,J$5))),RTD("tt.rtd",,"Instr",$I$4,"VX","FUTURE",$H12,J$5),NA())</f>
        <v>21.425</v>
      </c>
      <c r="L12">
        <f t="shared" ca="1" si="6"/>
        <v>-30.000000000000071</v>
      </c>
      <c r="P12" s="14" t="s">
        <v>257</v>
      </c>
      <c r="Q12">
        <v>8</v>
      </c>
      <c r="R12" s="13" t="s">
        <v>256</v>
      </c>
    </row>
    <row r="13" spans="1:18" x14ac:dyDescent="0.25">
      <c r="A13" s="5">
        <f t="shared" si="0"/>
        <v>9</v>
      </c>
      <c r="B13" t="str">
        <f t="shared" si="1"/>
        <v>21</v>
      </c>
      <c r="C13" s="4">
        <f t="shared" si="2"/>
        <v>44456</v>
      </c>
      <c r="D13" s="4">
        <f t="shared" si="3"/>
        <v>44426</v>
      </c>
      <c r="E13">
        <f t="shared" si="4"/>
        <v>44399</v>
      </c>
      <c r="F13" s="2" t="s">
        <v>255</v>
      </c>
      <c r="G13" t="str">
        <f ca="1"/>
        <v>J27</v>
      </c>
      <c r="H13" s="3" t="str">
        <f t="shared" ca="1" si="5"/>
        <v>Apr27</v>
      </c>
      <c r="I13" s="10" t="str">
        <f ca="1">IF(ISNUMBER(VALUE(RTD("tt.rtd",,"Instr",$I$4,"VX","FUTURE",$H13,I$5))),RTD("tt.rtd",,"Instr",$I$4,"VX","FUTURE",$H13,I$5),J13)</f>
        <v>21.750</v>
      </c>
      <c r="J13" s="10" t="str">
        <f ca="1">IF(ISNUMBER(VALUE(RTD("tt.rtd",,"Instr",$I$4,"VX","FUTURE",$H13,J$5))),RTD("tt.rtd",,"Instr",$I$4,"VX","FUTURE",$H13,J$5),NA())</f>
        <v>21.700</v>
      </c>
      <c r="L13">
        <f t="shared" ca="1" si="6"/>
        <v>-22.500000000000142</v>
      </c>
      <c r="P13" s="14" t="s">
        <v>254</v>
      </c>
      <c r="Q13">
        <v>9</v>
      </c>
      <c r="R13" s="13" t="s">
        <v>253</v>
      </c>
    </row>
    <row r="14" spans="1:18" x14ac:dyDescent="0.25">
      <c r="A14" s="5">
        <f t="shared" si="0"/>
        <v>10</v>
      </c>
      <c r="B14" t="str">
        <f t="shared" si="1"/>
        <v>21</v>
      </c>
      <c r="C14" s="4">
        <f t="shared" si="2"/>
        <v>44484</v>
      </c>
      <c r="D14" s="4">
        <f t="shared" si="3"/>
        <v>44454</v>
      </c>
      <c r="E14">
        <f t="shared" si="4"/>
        <v>44427</v>
      </c>
      <c r="F14" s="2" t="s">
        <v>252</v>
      </c>
      <c r="G14" t="str">
        <f ca="1"/>
        <v>K27</v>
      </c>
      <c r="H14" s="3" t="str">
        <f t="shared" ca="1" si="5"/>
        <v>May27</v>
      </c>
      <c r="I14" s="10" t="str">
        <f ca="1">IF(ISNUMBER(VALUE(RTD("tt.rtd",,"Instr",$I$4,"VX","FUTURE",$H14,I$5))),RTD("tt.rtd",,"Instr",$I$4,"VX","FUTURE",$H14,I$5),J14)</f>
        <v>21.975</v>
      </c>
      <c r="J14" s="10" t="str">
        <f ca="1">IF(ISNUMBER(VALUE(RTD("tt.rtd",,"Instr",$I$4,"VX","FUTURE",$H14,J$5))),RTD("tt.rtd",,"Instr",$I$4,"VX","FUTURE",$H14,J$5),NA())</f>
        <v>21.975</v>
      </c>
      <c r="L14" t="e">
        <f t="shared" ca="1" si="6"/>
        <v>#N/A</v>
      </c>
      <c r="P14" s="14" t="s">
        <v>251</v>
      </c>
      <c r="Q14">
        <v>10</v>
      </c>
      <c r="R14" s="13" t="s">
        <v>250</v>
      </c>
    </row>
    <row r="15" spans="1:18" x14ac:dyDescent="0.25">
      <c r="A15" s="5">
        <f t="shared" si="0"/>
        <v>11</v>
      </c>
      <c r="B15" t="str">
        <f t="shared" si="1"/>
        <v>21</v>
      </c>
      <c r="C15" s="4">
        <f t="shared" si="2"/>
        <v>44519</v>
      </c>
      <c r="D15" s="4">
        <f t="shared" si="3"/>
        <v>44489</v>
      </c>
      <c r="E15">
        <f t="shared" si="4"/>
        <v>44455</v>
      </c>
      <c r="F15" s="2" t="s">
        <v>249</v>
      </c>
      <c r="G15" t="str">
        <f ca="1"/>
        <v>M27</v>
      </c>
      <c r="H15" s="3" t="str">
        <f t="shared" ca="1" si="5"/>
        <v>Jun27</v>
      </c>
      <c r="I15" s="10" t="e">
        <f ca="1">IF(ISNUMBER(VALUE(RTD("tt.rtd",,"Instr",$I$4,"VX","FUTURE",$H15,I$5))),RTD("tt.rtd",,"Instr",$I$4,"VX","FUTURE",$H15,I$5),J15)</f>
        <v>#N/A</v>
      </c>
      <c r="J15" s="10" t="e">
        <f ca="1">IF(ISNUMBER(VALUE(RTD("tt.rtd",,"Instr",$I$4,"VX","FUTURE",$H15,J$5))),RTD("tt.rtd",,"Instr",$I$4,"VX","FUTURE",$H15,J$5),NA())</f>
        <v>#N/A</v>
      </c>
      <c r="L15" t="e">
        <f t="shared" ca="1" si="6"/>
        <v>#N/A</v>
      </c>
      <c r="P15" s="14" t="s">
        <v>248</v>
      </c>
      <c r="Q15">
        <v>11</v>
      </c>
      <c r="R15" s="13" t="s">
        <v>247</v>
      </c>
    </row>
    <row r="16" spans="1:18" x14ac:dyDescent="0.25">
      <c r="A16" s="5">
        <f t="shared" si="0"/>
        <v>12</v>
      </c>
      <c r="B16" t="str">
        <f t="shared" si="1"/>
        <v>21</v>
      </c>
      <c r="C16" s="4">
        <f t="shared" si="2"/>
        <v>44547</v>
      </c>
      <c r="D16" s="4">
        <f t="shared" si="3"/>
        <v>44517</v>
      </c>
      <c r="E16">
        <f t="shared" si="4"/>
        <v>44490</v>
      </c>
      <c r="F16" s="2" t="s">
        <v>246</v>
      </c>
      <c r="G16" t="str">
        <f ca="1"/>
        <v>N27</v>
      </c>
      <c r="H16" s="3" t="str">
        <f t="shared" ca="1" si="5"/>
        <v>Jul27</v>
      </c>
      <c r="I16" s="10"/>
      <c r="P16" s="12" t="s">
        <v>245</v>
      </c>
      <c r="Q16" s="6">
        <v>12</v>
      </c>
      <c r="R16" s="11" t="s">
        <v>244</v>
      </c>
    </row>
    <row r="17" spans="1:12" x14ac:dyDescent="0.25">
      <c r="A17" s="5">
        <f t="shared" si="0"/>
        <v>1</v>
      </c>
      <c r="B17" t="str">
        <f t="shared" si="1"/>
        <v>22</v>
      </c>
      <c r="C17" s="4">
        <f t="shared" si="2"/>
        <v>44582</v>
      </c>
      <c r="D17" s="4">
        <f t="shared" si="3"/>
        <v>44552</v>
      </c>
      <c r="E17">
        <f t="shared" si="4"/>
        <v>44518</v>
      </c>
      <c r="F17" s="2" t="s">
        <v>243</v>
      </c>
      <c r="G17" t="str">
        <f ca="1"/>
        <v>Q27</v>
      </c>
      <c r="H17" s="3" t="str">
        <f t="shared" ca="1" si="5"/>
        <v>Aug27</v>
      </c>
      <c r="I17" s="10"/>
    </row>
    <row r="18" spans="1:12" x14ac:dyDescent="0.25">
      <c r="A18" s="5">
        <f t="shared" si="0"/>
        <v>2</v>
      </c>
      <c r="B18" t="str">
        <f t="shared" si="1"/>
        <v>22</v>
      </c>
      <c r="C18" s="4">
        <f t="shared" si="2"/>
        <v>44610</v>
      </c>
      <c r="D18" s="4">
        <f t="shared" si="3"/>
        <v>44580</v>
      </c>
      <c r="E18">
        <f t="shared" si="4"/>
        <v>44553</v>
      </c>
      <c r="F18" s="2" t="s">
        <v>242</v>
      </c>
      <c r="G18" t="str">
        <f ca="1"/>
        <v>U27</v>
      </c>
      <c r="H18" s="3" t="str">
        <f t="shared" ca="1" si="5"/>
        <v>Sep27</v>
      </c>
      <c r="I18" s="10"/>
    </row>
    <row r="19" spans="1:12" x14ac:dyDescent="0.25">
      <c r="A19" s="5">
        <f t="shared" si="0"/>
        <v>3</v>
      </c>
      <c r="B19" t="str">
        <f t="shared" si="1"/>
        <v>22</v>
      </c>
      <c r="C19" s="4">
        <f t="shared" si="2"/>
        <v>44638</v>
      </c>
      <c r="D19" s="4">
        <f t="shared" si="3"/>
        <v>44608</v>
      </c>
      <c r="E19">
        <f t="shared" si="4"/>
        <v>44581</v>
      </c>
      <c r="F19" s="2" t="s">
        <v>241</v>
      </c>
      <c r="G19" t="str">
        <f ca="1"/>
        <v>V27</v>
      </c>
      <c r="H19" s="3" t="str">
        <f t="shared" ca="1" si="5"/>
        <v>Oct27</v>
      </c>
      <c r="I19" s="19" t="s">
        <v>295</v>
      </c>
    </row>
    <row r="20" spans="1:12" x14ac:dyDescent="0.25">
      <c r="A20" s="5">
        <f t="shared" si="0"/>
        <v>4</v>
      </c>
      <c r="B20" t="str">
        <f t="shared" si="1"/>
        <v>22</v>
      </c>
      <c r="C20" s="4">
        <f t="shared" si="2"/>
        <v>44666</v>
      </c>
      <c r="D20" s="4">
        <f t="shared" si="3"/>
        <v>44636</v>
      </c>
      <c r="E20">
        <f t="shared" si="4"/>
        <v>44609</v>
      </c>
      <c r="F20" s="2" t="s">
        <v>240</v>
      </c>
      <c r="G20" t="str">
        <f ca="1"/>
        <v>X27</v>
      </c>
      <c r="H20" s="3" t="str">
        <f t="shared" ca="1" si="5"/>
        <v>Nov27</v>
      </c>
      <c r="I20" s="19" t="str">
        <f ca="1">RTD("tt.rtd",,"Instr",$I$4,"VX","FUTURE",$H7,I$19)</f>
        <v>Open</v>
      </c>
    </row>
    <row r="21" spans="1:12" x14ac:dyDescent="0.25">
      <c r="A21" s="5">
        <f t="shared" si="0"/>
        <v>5</v>
      </c>
      <c r="B21" t="str">
        <f t="shared" si="1"/>
        <v>22</v>
      </c>
      <c r="C21" s="4">
        <f t="shared" si="2"/>
        <v>44701</v>
      </c>
      <c r="D21" s="4">
        <f t="shared" si="3"/>
        <v>44671</v>
      </c>
      <c r="E21">
        <f t="shared" si="4"/>
        <v>44637</v>
      </c>
      <c r="F21" s="2" t="s">
        <v>239</v>
      </c>
      <c r="G21" t="str">
        <f ca="1"/>
        <v>Z27</v>
      </c>
      <c r="H21" s="3" t="str">
        <f t="shared" ca="1" si="5"/>
        <v>Dec27</v>
      </c>
      <c r="I21" s="10"/>
    </row>
    <row r="22" spans="1:12" x14ac:dyDescent="0.25">
      <c r="A22" s="5">
        <f t="shared" si="0"/>
        <v>6</v>
      </c>
      <c r="B22" t="str">
        <f t="shared" si="1"/>
        <v>22</v>
      </c>
      <c r="C22" s="4">
        <f t="shared" si="2"/>
        <v>44729</v>
      </c>
      <c r="D22" s="4">
        <f t="shared" si="3"/>
        <v>44699</v>
      </c>
      <c r="E22">
        <f t="shared" si="4"/>
        <v>44672</v>
      </c>
      <c r="F22" s="2" t="s">
        <v>238</v>
      </c>
      <c r="G22" t="str">
        <f ca="1"/>
        <v>F28</v>
      </c>
      <c r="H22" s="3" t="str">
        <f t="shared" ca="1" si="5"/>
        <v>Jan28</v>
      </c>
      <c r="K22" s="9">
        <f>[1]VIX!B4</f>
        <v>46258</v>
      </c>
      <c r="L22" s="8" t="s">
        <v>237</v>
      </c>
    </row>
    <row r="23" spans="1:12" x14ac:dyDescent="0.25">
      <c r="A23" s="5">
        <f t="shared" si="0"/>
        <v>7</v>
      </c>
      <c r="B23" t="str">
        <f t="shared" si="1"/>
        <v>22</v>
      </c>
      <c r="C23" s="4">
        <f t="shared" si="2"/>
        <v>44757</v>
      </c>
      <c r="D23" s="4">
        <f t="shared" si="3"/>
        <v>44727</v>
      </c>
      <c r="E23">
        <f t="shared" si="4"/>
        <v>44700</v>
      </c>
      <c r="F23" s="2" t="s">
        <v>236</v>
      </c>
      <c r="G23" t="str">
        <f ca="1"/>
        <v>G28</v>
      </c>
      <c r="H23" s="3" t="str">
        <f t="shared" ca="1" si="5"/>
        <v>Feb28</v>
      </c>
      <c r="K23" s="9">
        <f>[1]VOXX!B4</f>
        <v>46258</v>
      </c>
      <c r="L23" s="8" t="s">
        <v>235</v>
      </c>
    </row>
    <row r="24" spans="1:12" x14ac:dyDescent="0.25">
      <c r="A24" s="5">
        <f t="shared" si="0"/>
        <v>8</v>
      </c>
      <c r="B24" t="str">
        <f t="shared" si="1"/>
        <v>22</v>
      </c>
      <c r="C24" s="4">
        <f t="shared" si="2"/>
        <v>44792</v>
      </c>
      <c r="D24" s="4">
        <f t="shared" si="3"/>
        <v>44762</v>
      </c>
      <c r="E24">
        <f t="shared" si="4"/>
        <v>44728</v>
      </c>
      <c r="F24" s="2" t="s">
        <v>234</v>
      </c>
      <c r="G24" t="str">
        <f ca="1"/>
        <v>H28</v>
      </c>
      <c r="H24" s="3" t="str">
        <f t="shared" ca="1" si="5"/>
        <v>Mar28</v>
      </c>
      <c r="K24" s="9">
        <f>[1]SPX!B4</f>
        <v>46258</v>
      </c>
      <c r="L24" s="8" t="s">
        <v>233</v>
      </c>
    </row>
    <row r="25" spans="1:12" x14ac:dyDescent="0.25">
      <c r="A25" s="5">
        <f t="shared" si="0"/>
        <v>9</v>
      </c>
      <c r="B25" t="str">
        <f t="shared" si="1"/>
        <v>22</v>
      </c>
      <c r="C25" s="4">
        <f t="shared" si="2"/>
        <v>44820</v>
      </c>
      <c r="D25" s="4">
        <f t="shared" si="3"/>
        <v>44790</v>
      </c>
      <c r="E25">
        <f t="shared" si="4"/>
        <v>44763</v>
      </c>
      <c r="F25" s="2" t="s">
        <v>232</v>
      </c>
      <c r="G25" t="str">
        <f ca="1"/>
        <v>J28</v>
      </c>
      <c r="H25" s="3" t="str">
        <f t="shared" ca="1" si="5"/>
        <v>Apr28</v>
      </c>
    </row>
    <row r="26" spans="1:12" x14ac:dyDescent="0.25">
      <c r="A26" s="5">
        <f t="shared" si="0"/>
        <v>10</v>
      </c>
      <c r="B26" t="str">
        <f t="shared" si="1"/>
        <v>22</v>
      </c>
      <c r="C26" s="4">
        <f t="shared" si="2"/>
        <v>44855</v>
      </c>
      <c r="D26" s="4">
        <f t="shared" si="3"/>
        <v>44825</v>
      </c>
      <c r="E26">
        <f t="shared" si="4"/>
        <v>44791</v>
      </c>
      <c r="F26" s="2" t="s">
        <v>231</v>
      </c>
      <c r="G26" t="str">
        <f ca="1"/>
        <v>K28</v>
      </c>
      <c r="H26" s="3" t="str">
        <f t="shared" ca="1" si="5"/>
        <v>May28</v>
      </c>
    </row>
    <row r="27" spans="1:12" x14ac:dyDescent="0.25">
      <c r="A27" s="5">
        <f t="shared" si="0"/>
        <v>11</v>
      </c>
      <c r="B27" t="str">
        <f t="shared" si="1"/>
        <v>22</v>
      </c>
      <c r="C27" s="4">
        <f t="shared" si="2"/>
        <v>44883</v>
      </c>
      <c r="D27" s="4">
        <f t="shared" si="3"/>
        <v>44853</v>
      </c>
      <c r="E27">
        <f t="shared" si="4"/>
        <v>44826</v>
      </c>
      <c r="F27" s="2" t="s">
        <v>230</v>
      </c>
      <c r="G27" t="str">
        <f ca="1"/>
        <v>M28</v>
      </c>
      <c r="H27" s="3" t="str">
        <f t="shared" ca="1" si="5"/>
        <v>Jun28</v>
      </c>
    </row>
    <row r="28" spans="1:12" x14ac:dyDescent="0.25">
      <c r="A28" s="5">
        <f t="shared" si="0"/>
        <v>12</v>
      </c>
      <c r="B28" t="str">
        <f t="shared" si="1"/>
        <v>22</v>
      </c>
      <c r="C28" s="4">
        <f t="shared" si="2"/>
        <v>44911</v>
      </c>
      <c r="D28" s="4">
        <f t="shared" si="3"/>
        <v>44881</v>
      </c>
      <c r="E28">
        <f t="shared" si="4"/>
        <v>44854</v>
      </c>
      <c r="F28" s="2" t="s">
        <v>229</v>
      </c>
      <c r="G28" t="str">
        <f ca="1"/>
        <v>N28</v>
      </c>
      <c r="H28" s="3" t="str">
        <f t="shared" ca="1" si="5"/>
        <v>Jul28</v>
      </c>
    </row>
    <row r="29" spans="1:12" x14ac:dyDescent="0.25">
      <c r="A29" s="5">
        <f t="shared" si="0"/>
        <v>1</v>
      </c>
      <c r="B29" t="str">
        <f t="shared" si="1"/>
        <v>23</v>
      </c>
      <c r="C29" s="4">
        <f t="shared" si="2"/>
        <v>44946</v>
      </c>
      <c r="D29" s="4">
        <f t="shared" si="3"/>
        <v>44916</v>
      </c>
      <c r="E29">
        <f t="shared" si="4"/>
        <v>44882</v>
      </c>
      <c r="F29" s="2" t="s">
        <v>228</v>
      </c>
      <c r="G29" t="str">
        <f ca="1"/>
        <v>Q28</v>
      </c>
      <c r="H29" s="3" t="str">
        <f t="shared" ca="1" si="5"/>
        <v>Aug28</v>
      </c>
    </row>
    <row r="30" spans="1:12" x14ac:dyDescent="0.25">
      <c r="A30" s="5">
        <f t="shared" si="0"/>
        <v>2</v>
      </c>
      <c r="B30" t="str">
        <f t="shared" si="1"/>
        <v>23</v>
      </c>
      <c r="C30" s="4">
        <f t="shared" si="2"/>
        <v>44974</v>
      </c>
      <c r="D30" s="4">
        <f t="shared" si="3"/>
        <v>44944</v>
      </c>
      <c r="E30">
        <f t="shared" si="4"/>
        <v>44917</v>
      </c>
      <c r="F30" s="2" t="s">
        <v>227</v>
      </c>
      <c r="G30" t="str">
        <f ca="1"/>
        <v>U28</v>
      </c>
      <c r="H30" s="3" t="str">
        <f t="shared" ca="1" si="5"/>
        <v>Sep28</v>
      </c>
    </row>
    <row r="31" spans="1:12" x14ac:dyDescent="0.25">
      <c r="A31" s="5">
        <f t="shared" si="0"/>
        <v>3</v>
      </c>
      <c r="B31" t="str">
        <f t="shared" si="1"/>
        <v>23</v>
      </c>
      <c r="C31" s="4">
        <f t="shared" si="2"/>
        <v>45002</v>
      </c>
      <c r="D31" s="4">
        <f t="shared" si="3"/>
        <v>44972</v>
      </c>
      <c r="E31">
        <f t="shared" si="4"/>
        <v>44945</v>
      </c>
      <c r="F31" s="2" t="s">
        <v>226</v>
      </c>
      <c r="G31" t="str">
        <f ca="1"/>
        <v>V28</v>
      </c>
      <c r="H31" s="3" t="str">
        <f t="shared" ca="1" si="5"/>
        <v>Oct28</v>
      </c>
    </row>
    <row r="32" spans="1:12" x14ac:dyDescent="0.25">
      <c r="A32" s="5">
        <f t="shared" si="0"/>
        <v>4</v>
      </c>
      <c r="B32" t="str">
        <f t="shared" si="1"/>
        <v>23</v>
      </c>
      <c r="C32" s="4">
        <f t="shared" si="2"/>
        <v>45037</v>
      </c>
      <c r="D32" s="4">
        <f t="shared" si="3"/>
        <v>45007</v>
      </c>
      <c r="E32">
        <f t="shared" si="4"/>
        <v>44973</v>
      </c>
      <c r="F32" s="2" t="s">
        <v>225</v>
      </c>
      <c r="G32" t="str">
        <f ca="1"/>
        <v>X28</v>
      </c>
      <c r="H32" s="3" t="str">
        <f t="shared" ca="1" si="5"/>
        <v>Nov28</v>
      </c>
    </row>
    <row r="33" spans="1:8" x14ac:dyDescent="0.25">
      <c r="A33" s="5">
        <f t="shared" si="0"/>
        <v>5</v>
      </c>
      <c r="B33" t="str">
        <f t="shared" si="1"/>
        <v>23</v>
      </c>
      <c r="C33" s="4">
        <f t="shared" si="2"/>
        <v>45065</v>
      </c>
      <c r="D33" s="4">
        <f t="shared" si="3"/>
        <v>45035</v>
      </c>
      <c r="E33">
        <f t="shared" si="4"/>
        <v>45008</v>
      </c>
      <c r="F33" s="2" t="s">
        <v>224</v>
      </c>
      <c r="G33" t="str">
        <f ca="1"/>
        <v>Z28</v>
      </c>
      <c r="H33" s="3" t="str">
        <f t="shared" ca="1" si="5"/>
        <v>Dec28</v>
      </c>
    </row>
    <row r="34" spans="1:8" x14ac:dyDescent="0.25">
      <c r="A34" s="5">
        <f t="shared" si="0"/>
        <v>6</v>
      </c>
      <c r="B34" t="str">
        <f t="shared" si="1"/>
        <v>23</v>
      </c>
      <c r="C34" s="4">
        <f t="shared" si="2"/>
        <v>45093</v>
      </c>
      <c r="D34" s="4">
        <f t="shared" si="3"/>
        <v>45063</v>
      </c>
      <c r="E34">
        <f t="shared" si="4"/>
        <v>45036</v>
      </c>
      <c r="F34" s="2" t="s">
        <v>223</v>
      </c>
      <c r="G34" t="str">
        <f ca="1"/>
        <v>F29</v>
      </c>
      <c r="H34" s="3" t="str">
        <f t="shared" ca="1" si="5"/>
        <v>Jan29</v>
      </c>
    </row>
    <row r="35" spans="1:8" x14ac:dyDescent="0.25">
      <c r="A35" s="5">
        <f t="shared" si="0"/>
        <v>7</v>
      </c>
      <c r="B35" t="str">
        <f t="shared" si="1"/>
        <v>23</v>
      </c>
      <c r="C35" s="4">
        <f t="shared" si="2"/>
        <v>45128</v>
      </c>
      <c r="D35" s="4">
        <f t="shared" si="3"/>
        <v>45098</v>
      </c>
      <c r="E35">
        <f t="shared" si="4"/>
        <v>45064</v>
      </c>
      <c r="F35" s="2" t="s">
        <v>222</v>
      </c>
      <c r="G35" t="str">
        <f ca="1"/>
        <v>G29</v>
      </c>
      <c r="H35" s="3" t="str">
        <f t="shared" ca="1" si="5"/>
        <v>Feb29</v>
      </c>
    </row>
    <row r="36" spans="1:8" x14ac:dyDescent="0.25">
      <c r="A36" s="5">
        <f t="shared" si="0"/>
        <v>8</v>
      </c>
      <c r="B36" t="str">
        <f t="shared" si="1"/>
        <v>23</v>
      </c>
      <c r="C36" s="4">
        <f t="shared" si="2"/>
        <v>45156</v>
      </c>
      <c r="D36" s="4">
        <f t="shared" si="3"/>
        <v>45126</v>
      </c>
      <c r="E36">
        <f t="shared" si="4"/>
        <v>45099</v>
      </c>
      <c r="F36" s="2" t="s">
        <v>221</v>
      </c>
      <c r="G36" t="str">
        <f ca="1"/>
        <v>H29</v>
      </c>
      <c r="H36" s="3" t="str">
        <f t="shared" ca="1" si="5"/>
        <v>Mar29</v>
      </c>
    </row>
    <row r="37" spans="1:8" x14ac:dyDescent="0.25">
      <c r="A37" s="5">
        <f t="shared" si="0"/>
        <v>9</v>
      </c>
      <c r="B37" t="str">
        <f t="shared" si="1"/>
        <v>23</v>
      </c>
      <c r="C37" s="4">
        <f t="shared" si="2"/>
        <v>45184</v>
      </c>
      <c r="D37" s="4">
        <f t="shared" si="3"/>
        <v>45154</v>
      </c>
      <c r="E37">
        <f t="shared" si="4"/>
        <v>45127</v>
      </c>
      <c r="F37" s="2" t="s">
        <v>220</v>
      </c>
      <c r="G37" t="str">
        <f ca="1"/>
        <v>J29</v>
      </c>
      <c r="H37" s="3" t="str">
        <f t="shared" ca="1" si="5"/>
        <v>Apr29</v>
      </c>
    </row>
    <row r="38" spans="1:8" x14ac:dyDescent="0.25">
      <c r="A38" s="5">
        <f t="shared" si="0"/>
        <v>10</v>
      </c>
      <c r="B38" t="str">
        <f t="shared" si="1"/>
        <v>23</v>
      </c>
      <c r="C38" s="4">
        <f t="shared" si="2"/>
        <v>45219</v>
      </c>
      <c r="D38" s="4">
        <f t="shared" si="3"/>
        <v>45189</v>
      </c>
      <c r="E38">
        <f t="shared" si="4"/>
        <v>45155</v>
      </c>
      <c r="F38" s="2" t="s">
        <v>219</v>
      </c>
      <c r="G38" t="str">
        <f ca="1"/>
        <v>K29</v>
      </c>
      <c r="H38" s="3" t="str">
        <f t="shared" ca="1" si="5"/>
        <v>May29</v>
      </c>
    </row>
    <row r="39" spans="1:8" x14ac:dyDescent="0.25">
      <c r="A39" s="5">
        <f t="shared" si="0"/>
        <v>11</v>
      </c>
      <c r="B39" t="str">
        <f t="shared" si="1"/>
        <v>23</v>
      </c>
      <c r="C39" s="4">
        <f t="shared" si="2"/>
        <v>45247</v>
      </c>
      <c r="D39" s="4">
        <f t="shared" si="3"/>
        <v>45217</v>
      </c>
      <c r="E39">
        <f t="shared" si="4"/>
        <v>45190</v>
      </c>
      <c r="F39" s="2" t="s">
        <v>218</v>
      </c>
      <c r="G39" t="str">
        <f ca="1"/>
        <v>M29</v>
      </c>
      <c r="H39" s="3" t="str">
        <f t="shared" ca="1" si="5"/>
        <v>Jun29</v>
      </c>
    </row>
    <row r="40" spans="1:8" x14ac:dyDescent="0.25">
      <c r="A40" s="5">
        <f t="shared" si="0"/>
        <v>12</v>
      </c>
      <c r="B40" t="str">
        <f t="shared" si="1"/>
        <v>23</v>
      </c>
      <c r="C40" s="4">
        <f t="shared" si="2"/>
        <v>45275</v>
      </c>
      <c r="D40" s="4">
        <f t="shared" si="3"/>
        <v>45245</v>
      </c>
      <c r="E40">
        <f t="shared" si="4"/>
        <v>45218</v>
      </c>
      <c r="F40" s="2" t="s">
        <v>217</v>
      </c>
      <c r="G40" t="str">
        <f ca="1"/>
        <v>N29</v>
      </c>
      <c r="H40" s="3" t="str">
        <f t="shared" ca="1" si="5"/>
        <v>Jul29</v>
      </c>
    </row>
    <row r="41" spans="1:8" x14ac:dyDescent="0.25">
      <c r="A41" s="5">
        <f t="shared" si="0"/>
        <v>1</v>
      </c>
      <c r="B41" t="str">
        <f t="shared" si="1"/>
        <v>24</v>
      </c>
      <c r="C41" s="4">
        <f t="shared" si="2"/>
        <v>45310</v>
      </c>
      <c r="D41" s="4">
        <f t="shared" si="3"/>
        <v>45280</v>
      </c>
      <c r="E41">
        <f t="shared" si="4"/>
        <v>45246</v>
      </c>
      <c r="F41" s="2" t="s">
        <v>216</v>
      </c>
      <c r="G41" t="str">
        <f ca="1"/>
        <v>Q29</v>
      </c>
      <c r="H41" s="3" t="str">
        <f t="shared" ca="1" si="5"/>
        <v>Aug29</v>
      </c>
    </row>
    <row r="42" spans="1:8" x14ac:dyDescent="0.25">
      <c r="A42" s="5">
        <f t="shared" si="0"/>
        <v>2</v>
      </c>
      <c r="B42" t="str">
        <f t="shared" si="1"/>
        <v>24</v>
      </c>
      <c r="C42" s="4">
        <f t="shared" si="2"/>
        <v>45338</v>
      </c>
      <c r="D42" s="4">
        <f t="shared" si="3"/>
        <v>45308</v>
      </c>
      <c r="E42">
        <f t="shared" si="4"/>
        <v>45281</v>
      </c>
      <c r="F42" s="2" t="s">
        <v>215</v>
      </c>
      <c r="G42" t="str">
        <f ca="1"/>
        <v>U29</v>
      </c>
      <c r="H42" s="3" t="str">
        <f t="shared" ca="1" si="5"/>
        <v>Sep29</v>
      </c>
    </row>
    <row r="43" spans="1:8" x14ac:dyDescent="0.25">
      <c r="A43" s="5">
        <f t="shared" si="0"/>
        <v>3</v>
      </c>
      <c r="B43" t="str">
        <f t="shared" si="1"/>
        <v>24</v>
      </c>
      <c r="C43" s="4">
        <f t="shared" si="2"/>
        <v>45366</v>
      </c>
      <c r="D43" s="4">
        <f t="shared" si="3"/>
        <v>45336</v>
      </c>
      <c r="E43">
        <f t="shared" si="4"/>
        <v>45309</v>
      </c>
      <c r="F43" s="2" t="s">
        <v>214</v>
      </c>
      <c r="G43" t="str">
        <f ca="1"/>
        <v>V29</v>
      </c>
      <c r="H43" s="3" t="str">
        <f t="shared" ca="1" si="5"/>
        <v>Oct29</v>
      </c>
    </row>
    <row r="44" spans="1:8" x14ac:dyDescent="0.25">
      <c r="A44" s="5">
        <f t="shared" si="0"/>
        <v>4</v>
      </c>
      <c r="B44" t="str">
        <f t="shared" si="1"/>
        <v>24</v>
      </c>
      <c r="C44" s="4">
        <f t="shared" si="2"/>
        <v>45401</v>
      </c>
      <c r="D44" s="4">
        <f t="shared" si="3"/>
        <v>45371</v>
      </c>
      <c r="E44">
        <f t="shared" si="4"/>
        <v>45337</v>
      </c>
      <c r="F44" s="2" t="s">
        <v>213</v>
      </c>
      <c r="G44" t="str">
        <f ca="1"/>
        <v>X29</v>
      </c>
      <c r="H44" s="3" t="str">
        <f t="shared" ca="1" si="5"/>
        <v>Nov29</v>
      </c>
    </row>
    <row r="45" spans="1:8" x14ac:dyDescent="0.25">
      <c r="A45" s="5">
        <f t="shared" si="0"/>
        <v>5</v>
      </c>
      <c r="B45" t="str">
        <f t="shared" si="1"/>
        <v>24</v>
      </c>
      <c r="C45" s="4">
        <f t="shared" si="2"/>
        <v>45429</v>
      </c>
      <c r="D45" s="4">
        <f t="shared" si="3"/>
        <v>45399</v>
      </c>
      <c r="E45">
        <f t="shared" si="4"/>
        <v>45372</v>
      </c>
      <c r="F45" s="2" t="s">
        <v>212</v>
      </c>
      <c r="G45" t="str">
        <f ca="1"/>
        <v>Z29</v>
      </c>
      <c r="H45" s="3" t="str">
        <f t="shared" ca="1" si="5"/>
        <v>Dec29</v>
      </c>
    </row>
    <row r="46" spans="1:8" x14ac:dyDescent="0.25">
      <c r="A46" s="5">
        <f t="shared" si="0"/>
        <v>6</v>
      </c>
      <c r="B46" t="str">
        <f t="shared" si="1"/>
        <v>24</v>
      </c>
      <c r="C46" s="4">
        <f t="shared" si="2"/>
        <v>45464</v>
      </c>
      <c r="D46" s="4">
        <f t="shared" si="3"/>
        <v>45434</v>
      </c>
      <c r="E46">
        <f t="shared" si="4"/>
        <v>45400</v>
      </c>
      <c r="F46" s="2" t="s">
        <v>211</v>
      </c>
      <c r="G46" t="str">
        <f ca="1"/>
        <v>F30</v>
      </c>
      <c r="H46" s="3" t="str">
        <f t="shared" ca="1" si="5"/>
        <v>Jan30</v>
      </c>
    </row>
    <row r="47" spans="1:8" x14ac:dyDescent="0.25">
      <c r="A47" s="5">
        <f t="shared" si="0"/>
        <v>7</v>
      </c>
      <c r="B47" t="str">
        <f t="shared" si="1"/>
        <v>24</v>
      </c>
      <c r="C47" s="4">
        <f t="shared" si="2"/>
        <v>45492</v>
      </c>
      <c r="D47" s="4">
        <f t="shared" si="3"/>
        <v>45462</v>
      </c>
      <c r="E47">
        <f t="shared" si="4"/>
        <v>45435</v>
      </c>
      <c r="F47" s="2" t="s">
        <v>210</v>
      </c>
      <c r="G47" t="str">
        <f ca="1"/>
        <v>G30</v>
      </c>
      <c r="H47" s="3" t="str">
        <f t="shared" ca="1" si="5"/>
        <v>Feb30</v>
      </c>
    </row>
    <row r="48" spans="1:8" x14ac:dyDescent="0.25">
      <c r="A48" s="5">
        <f t="shared" si="0"/>
        <v>8</v>
      </c>
      <c r="B48" t="str">
        <f t="shared" si="1"/>
        <v>24</v>
      </c>
      <c r="C48" s="4">
        <f t="shared" si="2"/>
        <v>45520</v>
      </c>
      <c r="D48" s="4">
        <f t="shared" si="3"/>
        <v>45490</v>
      </c>
      <c r="E48">
        <f t="shared" si="4"/>
        <v>45463</v>
      </c>
      <c r="F48" s="2" t="s">
        <v>209</v>
      </c>
      <c r="G48" t="str">
        <f ca="1"/>
        <v>H30</v>
      </c>
      <c r="H48" s="3" t="str">
        <f t="shared" ca="1" si="5"/>
        <v>Mar30</v>
      </c>
    </row>
    <row r="49" spans="1:8" x14ac:dyDescent="0.25">
      <c r="A49" s="5">
        <f t="shared" si="0"/>
        <v>9</v>
      </c>
      <c r="B49" t="str">
        <f t="shared" si="1"/>
        <v>24</v>
      </c>
      <c r="C49" s="4">
        <f t="shared" si="2"/>
        <v>45555</v>
      </c>
      <c r="D49" s="4">
        <f t="shared" si="3"/>
        <v>45525</v>
      </c>
      <c r="E49">
        <f t="shared" si="4"/>
        <v>45491</v>
      </c>
      <c r="F49" s="2" t="s">
        <v>208</v>
      </c>
      <c r="G49" t="str">
        <f ca="1"/>
        <v>J30</v>
      </c>
      <c r="H49" s="3" t="str">
        <f t="shared" ca="1" si="5"/>
        <v>Apr30</v>
      </c>
    </row>
    <row r="50" spans="1:8" x14ac:dyDescent="0.25">
      <c r="A50" s="5">
        <f t="shared" si="0"/>
        <v>10</v>
      </c>
      <c r="B50" t="str">
        <f t="shared" si="1"/>
        <v>24</v>
      </c>
      <c r="C50" s="4">
        <f t="shared" si="2"/>
        <v>45583</v>
      </c>
      <c r="D50" s="4">
        <f t="shared" si="3"/>
        <v>45553</v>
      </c>
      <c r="E50">
        <f t="shared" si="4"/>
        <v>45526</v>
      </c>
      <c r="F50" s="2" t="s">
        <v>207</v>
      </c>
      <c r="G50" t="str">
        <f ca="1"/>
        <v>K30</v>
      </c>
      <c r="H50" s="3" t="str">
        <f t="shared" ca="1" si="5"/>
        <v>May30</v>
      </c>
    </row>
    <row r="51" spans="1:8" x14ac:dyDescent="0.25">
      <c r="A51" s="5">
        <f t="shared" si="0"/>
        <v>11</v>
      </c>
      <c r="B51" t="str">
        <f t="shared" si="1"/>
        <v>24</v>
      </c>
      <c r="C51" s="4">
        <f t="shared" si="2"/>
        <v>45611</v>
      </c>
      <c r="D51" s="4">
        <f t="shared" si="3"/>
        <v>45581</v>
      </c>
      <c r="E51">
        <f t="shared" si="4"/>
        <v>45554</v>
      </c>
      <c r="F51" s="2" t="s">
        <v>206</v>
      </c>
      <c r="G51" t="str">
        <f ca="1"/>
        <v>M30</v>
      </c>
      <c r="H51" s="3" t="str">
        <f t="shared" ca="1" si="5"/>
        <v>Jun30</v>
      </c>
    </row>
    <row r="52" spans="1:8" x14ac:dyDescent="0.25">
      <c r="A52" s="5">
        <f t="shared" si="0"/>
        <v>12</v>
      </c>
      <c r="B52" t="str">
        <f t="shared" si="1"/>
        <v>24</v>
      </c>
      <c r="C52" s="4">
        <f t="shared" si="2"/>
        <v>45646</v>
      </c>
      <c r="D52" s="4">
        <f t="shared" si="3"/>
        <v>45616</v>
      </c>
      <c r="E52">
        <f t="shared" si="4"/>
        <v>45582</v>
      </c>
      <c r="F52" s="2" t="s">
        <v>205</v>
      </c>
      <c r="G52" t="str">
        <f ca="1"/>
        <v>N30</v>
      </c>
      <c r="H52" s="3" t="str">
        <f t="shared" ca="1" si="5"/>
        <v>Jul30</v>
      </c>
    </row>
    <row r="53" spans="1:8" x14ac:dyDescent="0.25">
      <c r="A53" s="5">
        <f t="shared" si="0"/>
        <v>1</v>
      </c>
      <c r="B53" t="str">
        <f t="shared" si="1"/>
        <v>25</v>
      </c>
      <c r="C53" s="4">
        <f t="shared" si="2"/>
        <v>45674</v>
      </c>
      <c r="D53" s="4">
        <f t="shared" si="3"/>
        <v>45644</v>
      </c>
      <c r="E53">
        <f t="shared" si="4"/>
        <v>45617</v>
      </c>
      <c r="F53" s="2" t="s">
        <v>204</v>
      </c>
      <c r="G53" t="str">
        <f ca="1"/>
        <v>Q30</v>
      </c>
      <c r="H53" s="3" t="str">
        <f t="shared" ca="1" si="5"/>
        <v>Aug30</v>
      </c>
    </row>
    <row r="54" spans="1:8" x14ac:dyDescent="0.25">
      <c r="A54" s="5">
        <f t="shared" si="0"/>
        <v>2</v>
      </c>
      <c r="B54" t="str">
        <f t="shared" si="1"/>
        <v>25</v>
      </c>
      <c r="C54" s="4">
        <f t="shared" si="2"/>
        <v>45709</v>
      </c>
      <c r="D54" s="4">
        <f t="shared" si="3"/>
        <v>45679</v>
      </c>
      <c r="E54">
        <f t="shared" si="4"/>
        <v>45645</v>
      </c>
      <c r="F54" s="2" t="s">
        <v>203</v>
      </c>
      <c r="G54" t="str">
        <f ca="1"/>
        <v>U30</v>
      </c>
      <c r="H54" s="3" t="str">
        <f t="shared" ca="1" si="5"/>
        <v>Sep30</v>
      </c>
    </row>
    <row r="55" spans="1:8" x14ac:dyDescent="0.25">
      <c r="A55" s="5">
        <f t="shared" si="0"/>
        <v>3</v>
      </c>
      <c r="B55" t="str">
        <f t="shared" si="1"/>
        <v>25</v>
      </c>
      <c r="C55" s="4">
        <f t="shared" si="2"/>
        <v>45737</v>
      </c>
      <c r="D55" s="4">
        <f t="shared" si="3"/>
        <v>45707</v>
      </c>
      <c r="E55">
        <f t="shared" si="4"/>
        <v>45680</v>
      </c>
      <c r="F55" s="2" t="s">
        <v>202</v>
      </c>
      <c r="G55" t="str">
        <f ca="1"/>
        <v>V30</v>
      </c>
      <c r="H55" s="3" t="str">
        <f t="shared" ca="1" si="5"/>
        <v>Oct30</v>
      </c>
    </row>
    <row r="56" spans="1:8" x14ac:dyDescent="0.25">
      <c r="A56" s="5">
        <f t="shared" si="0"/>
        <v>4</v>
      </c>
      <c r="B56" t="str">
        <f t="shared" si="1"/>
        <v>25</v>
      </c>
      <c r="C56" s="4">
        <f t="shared" si="2"/>
        <v>45765</v>
      </c>
      <c r="D56" s="4">
        <f t="shared" si="3"/>
        <v>45735</v>
      </c>
      <c r="E56">
        <f t="shared" si="4"/>
        <v>45708</v>
      </c>
      <c r="F56" s="2" t="s">
        <v>201</v>
      </c>
      <c r="G56" t="str">
        <f ca="1"/>
        <v>X30</v>
      </c>
      <c r="H56" s="3" t="str">
        <f t="shared" ca="1" si="5"/>
        <v>Nov30</v>
      </c>
    </row>
    <row r="57" spans="1:8" x14ac:dyDescent="0.25">
      <c r="A57" s="5">
        <f t="shared" si="0"/>
        <v>5</v>
      </c>
      <c r="B57" t="str">
        <f t="shared" si="1"/>
        <v>25</v>
      </c>
      <c r="C57" s="4">
        <f t="shared" si="2"/>
        <v>45793</v>
      </c>
      <c r="D57" s="4">
        <f t="shared" si="3"/>
        <v>45763</v>
      </c>
      <c r="E57">
        <f t="shared" si="4"/>
        <v>45736</v>
      </c>
      <c r="F57" s="2" t="s">
        <v>200</v>
      </c>
      <c r="G57" t="str">
        <f ca="1"/>
        <v>Z30</v>
      </c>
      <c r="H57" s="3" t="str">
        <f t="shared" ca="1" si="5"/>
        <v>Dec30</v>
      </c>
    </row>
    <row r="58" spans="1:8" x14ac:dyDescent="0.25">
      <c r="A58" s="5">
        <f t="shared" si="0"/>
        <v>6</v>
      </c>
      <c r="B58" t="str">
        <f t="shared" si="1"/>
        <v>25</v>
      </c>
      <c r="C58" s="4">
        <f t="shared" si="2"/>
        <v>45828</v>
      </c>
      <c r="D58" s="4">
        <f t="shared" si="3"/>
        <v>45798</v>
      </c>
      <c r="E58">
        <f t="shared" si="4"/>
        <v>45764</v>
      </c>
      <c r="F58" s="2" t="s">
        <v>199</v>
      </c>
      <c r="G58" t="str">
        <f ca="1"/>
        <v>F31</v>
      </c>
      <c r="H58" s="3" t="str">
        <f t="shared" ca="1" si="5"/>
        <v>Jan31</v>
      </c>
    </row>
    <row r="59" spans="1:8" x14ac:dyDescent="0.25">
      <c r="A59" s="5">
        <f t="shared" si="0"/>
        <v>7</v>
      </c>
      <c r="B59" t="str">
        <f t="shared" si="1"/>
        <v>25</v>
      </c>
      <c r="C59" s="4">
        <f t="shared" si="2"/>
        <v>45856</v>
      </c>
      <c r="D59" s="4">
        <f t="shared" si="3"/>
        <v>45826</v>
      </c>
      <c r="E59">
        <f t="shared" si="4"/>
        <v>45799</v>
      </c>
      <c r="F59" s="2" t="s">
        <v>198</v>
      </c>
      <c r="G59" t="str">
        <f ca="1"/>
        <v>G31</v>
      </c>
      <c r="H59" s="3" t="str">
        <f t="shared" ca="1" si="5"/>
        <v>Feb31</v>
      </c>
    </row>
    <row r="60" spans="1:8" x14ac:dyDescent="0.25">
      <c r="A60" s="5">
        <f t="shared" si="0"/>
        <v>8</v>
      </c>
      <c r="B60" t="str">
        <f t="shared" si="1"/>
        <v>25</v>
      </c>
      <c r="C60" s="4">
        <f t="shared" si="2"/>
        <v>45884</v>
      </c>
      <c r="D60" s="4">
        <f t="shared" si="3"/>
        <v>45854</v>
      </c>
      <c r="E60">
        <f t="shared" si="4"/>
        <v>45827</v>
      </c>
      <c r="F60" s="2" t="s">
        <v>197</v>
      </c>
      <c r="G60" t="str">
        <f ca="1"/>
        <v>H31</v>
      </c>
      <c r="H60" s="3" t="str">
        <f t="shared" ca="1" si="5"/>
        <v>Mar31</v>
      </c>
    </row>
    <row r="61" spans="1:8" x14ac:dyDescent="0.25">
      <c r="A61" s="5">
        <f t="shared" si="0"/>
        <v>9</v>
      </c>
      <c r="B61" t="str">
        <f t="shared" si="1"/>
        <v>25</v>
      </c>
      <c r="C61" s="4">
        <f t="shared" si="2"/>
        <v>45919</v>
      </c>
      <c r="D61" s="4">
        <f t="shared" si="3"/>
        <v>45889</v>
      </c>
      <c r="E61">
        <f t="shared" si="4"/>
        <v>45855</v>
      </c>
      <c r="F61" s="2" t="s">
        <v>196</v>
      </c>
      <c r="G61" t="str">
        <f ca="1"/>
        <v>J31</v>
      </c>
      <c r="H61" s="3" t="str">
        <f t="shared" ca="1" si="5"/>
        <v>Apr31</v>
      </c>
    </row>
    <row r="62" spans="1:8" x14ac:dyDescent="0.25">
      <c r="A62" s="5">
        <f t="shared" si="0"/>
        <v>10</v>
      </c>
      <c r="B62" t="str">
        <f t="shared" si="1"/>
        <v>25</v>
      </c>
      <c r="C62" s="4">
        <f t="shared" si="2"/>
        <v>45947</v>
      </c>
      <c r="D62" s="4">
        <f t="shared" si="3"/>
        <v>45917</v>
      </c>
      <c r="E62">
        <f t="shared" si="4"/>
        <v>45890</v>
      </c>
      <c r="F62" s="2" t="s">
        <v>195</v>
      </c>
      <c r="G62" t="str">
        <f ca="1"/>
        <v>K31</v>
      </c>
      <c r="H62" s="3" t="str">
        <f t="shared" ca="1" si="5"/>
        <v>May31</v>
      </c>
    </row>
    <row r="63" spans="1:8" x14ac:dyDescent="0.25">
      <c r="A63" s="5">
        <f t="shared" si="0"/>
        <v>11</v>
      </c>
      <c r="B63" t="str">
        <f t="shared" si="1"/>
        <v>25</v>
      </c>
      <c r="C63" s="4">
        <f t="shared" si="2"/>
        <v>45982</v>
      </c>
      <c r="D63" s="4">
        <f t="shared" si="3"/>
        <v>45952</v>
      </c>
      <c r="E63">
        <f t="shared" si="4"/>
        <v>45918</v>
      </c>
      <c r="F63" s="2" t="s">
        <v>194</v>
      </c>
      <c r="G63" t="str">
        <f ca="1"/>
        <v>M31</v>
      </c>
      <c r="H63" s="3" t="str">
        <f t="shared" ca="1" si="5"/>
        <v>Jun31</v>
      </c>
    </row>
    <row r="64" spans="1:8" x14ac:dyDescent="0.25">
      <c r="A64" s="5">
        <f t="shared" si="0"/>
        <v>12</v>
      </c>
      <c r="B64" t="str">
        <f t="shared" si="1"/>
        <v>25</v>
      </c>
      <c r="C64" s="4">
        <f t="shared" si="2"/>
        <v>46010</v>
      </c>
      <c r="D64" s="4">
        <f t="shared" si="3"/>
        <v>45980</v>
      </c>
      <c r="E64">
        <f t="shared" si="4"/>
        <v>45953</v>
      </c>
      <c r="F64" s="2" t="s">
        <v>193</v>
      </c>
      <c r="G64" t="str">
        <f ca="1"/>
        <v>N31</v>
      </c>
      <c r="H64" s="3" t="str">
        <f t="shared" ca="1" si="5"/>
        <v>Jul31</v>
      </c>
    </row>
    <row r="65" spans="1:8" x14ac:dyDescent="0.25">
      <c r="A65" s="5">
        <f t="shared" si="0"/>
        <v>1</v>
      </c>
      <c r="B65" t="str">
        <f t="shared" si="1"/>
        <v>26</v>
      </c>
      <c r="C65" s="4">
        <f t="shared" si="2"/>
        <v>46038</v>
      </c>
      <c r="D65" s="4">
        <f t="shared" si="3"/>
        <v>46008</v>
      </c>
      <c r="E65">
        <f t="shared" si="4"/>
        <v>45981</v>
      </c>
      <c r="F65" s="2" t="s">
        <v>192</v>
      </c>
      <c r="G65" t="str">
        <f ca="1"/>
        <v>Q31</v>
      </c>
      <c r="H65" s="3" t="str">
        <f t="shared" ca="1" si="5"/>
        <v>Aug31</v>
      </c>
    </row>
    <row r="66" spans="1:8" x14ac:dyDescent="0.25">
      <c r="A66" s="5">
        <f t="shared" si="0"/>
        <v>2</v>
      </c>
      <c r="B66" t="str">
        <f t="shared" si="1"/>
        <v>26</v>
      </c>
      <c r="C66" s="4">
        <f t="shared" si="2"/>
        <v>46073</v>
      </c>
      <c r="D66" s="4">
        <f t="shared" si="3"/>
        <v>46043</v>
      </c>
      <c r="E66">
        <f t="shared" si="4"/>
        <v>46009</v>
      </c>
      <c r="F66" s="2" t="s">
        <v>191</v>
      </c>
      <c r="G66" t="str">
        <f ca="1"/>
        <v>U31</v>
      </c>
      <c r="H66" s="3" t="str">
        <f t="shared" ca="1" si="5"/>
        <v>Sep31</v>
      </c>
    </row>
    <row r="67" spans="1:8" x14ac:dyDescent="0.25">
      <c r="A67" s="5">
        <f t="shared" si="0"/>
        <v>3</v>
      </c>
      <c r="B67" t="str">
        <f t="shared" si="1"/>
        <v>26</v>
      </c>
      <c r="C67" s="4">
        <f t="shared" si="2"/>
        <v>46101</v>
      </c>
      <c r="D67" s="4">
        <f t="shared" si="3"/>
        <v>46071</v>
      </c>
      <c r="E67">
        <f t="shared" si="4"/>
        <v>46044</v>
      </c>
      <c r="F67" s="2" t="s">
        <v>190</v>
      </c>
      <c r="G67" t="str">
        <f ca="1"/>
        <v>V31</v>
      </c>
      <c r="H67" s="3" t="str">
        <f t="shared" ca="1" si="5"/>
        <v>Oct31</v>
      </c>
    </row>
    <row r="68" spans="1:8" x14ac:dyDescent="0.25">
      <c r="A68" s="5">
        <f t="shared" si="0"/>
        <v>4</v>
      </c>
      <c r="B68" t="str">
        <f t="shared" si="1"/>
        <v>26</v>
      </c>
      <c r="C68" s="4">
        <f t="shared" si="2"/>
        <v>46129</v>
      </c>
      <c r="D68" s="4">
        <f t="shared" si="3"/>
        <v>46099</v>
      </c>
      <c r="E68">
        <f t="shared" si="4"/>
        <v>46072</v>
      </c>
      <c r="F68" s="2" t="s">
        <v>189</v>
      </c>
      <c r="G68" t="str">
        <f ca="1"/>
        <v>X31</v>
      </c>
      <c r="H68" s="3" t="str">
        <f t="shared" ca="1" si="5"/>
        <v>Nov31</v>
      </c>
    </row>
    <row r="69" spans="1:8" x14ac:dyDescent="0.25">
      <c r="A69" s="5">
        <f t="shared" si="0"/>
        <v>5</v>
      </c>
      <c r="B69" t="str">
        <f t="shared" si="1"/>
        <v>26</v>
      </c>
      <c r="C69" s="4">
        <f t="shared" si="2"/>
        <v>46157</v>
      </c>
      <c r="D69" s="4">
        <f t="shared" si="3"/>
        <v>46127</v>
      </c>
      <c r="E69">
        <f t="shared" si="4"/>
        <v>46100</v>
      </c>
      <c r="F69" s="2" t="s">
        <v>188</v>
      </c>
      <c r="G69" t="str">
        <f ca="1"/>
        <v>Z31</v>
      </c>
      <c r="H69" s="3" t="str">
        <f t="shared" ca="1" si="5"/>
        <v>Dec31</v>
      </c>
    </row>
    <row r="70" spans="1:8" x14ac:dyDescent="0.25">
      <c r="A70" s="5">
        <f t="shared" ref="A70:A133" si="7">MOD(VLOOKUP(LEFT(F70,1),$P$5:$Q$16,2,0),12)+1</f>
        <v>6</v>
      </c>
      <c r="B70" t="str">
        <f t="shared" ref="B70:B133" si="8">IF(A70&gt;1, RIGHT(F70,2),RIGHT(F71,2))</f>
        <v>26</v>
      </c>
      <c r="C70" s="4">
        <f t="shared" ref="C70:C133" si="9">DATE(B70+100, A70, 1) + 14 + MOD(6 - WEEKDAY(DATE(B70+100, A70, 1)), 7)</f>
        <v>46192</v>
      </c>
      <c r="D70" s="4">
        <f t="shared" ref="D70:D133" si="10">C70-30</f>
        <v>46162</v>
      </c>
      <c r="E70">
        <f t="shared" ref="E70:E133" si="11">D69+1</f>
        <v>46128</v>
      </c>
      <c r="F70" s="2" t="s">
        <v>187</v>
      </c>
      <c r="G70" t="str">
        <f ca="1"/>
        <v>F32</v>
      </c>
      <c r="H70" s="3" t="str">
        <f t="shared" ref="H70:H133" ca="1" si="12">VLOOKUP(LEFT(G70,1),$P$5:$R$16,3,0)&amp; RIGHT(G70,2)</f>
        <v>Jan32</v>
      </c>
    </row>
    <row r="71" spans="1:8" x14ac:dyDescent="0.25">
      <c r="A71" s="5">
        <f t="shared" si="7"/>
        <v>7</v>
      </c>
      <c r="B71" t="str">
        <f t="shared" si="8"/>
        <v>26</v>
      </c>
      <c r="C71" s="4">
        <f t="shared" si="9"/>
        <v>46220</v>
      </c>
      <c r="D71" s="4">
        <f t="shared" si="10"/>
        <v>46190</v>
      </c>
      <c r="E71">
        <f t="shared" si="11"/>
        <v>46163</v>
      </c>
      <c r="F71" s="2" t="s">
        <v>186</v>
      </c>
      <c r="G71" t="str">
        <f ca="1"/>
        <v>G32</v>
      </c>
      <c r="H71" s="3" t="str">
        <f t="shared" ca="1" si="12"/>
        <v>Feb32</v>
      </c>
    </row>
    <row r="72" spans="1:8" x14ac:dyDescent="0.25">
      <c r="A72" s="5">
        <f t="shared" si="7"/>
        <v>8</v>
      </c>
      <c r="B72" t="str">
        <f t="shared" si="8"/>
        <v>26</v>
      </c>
      <c r="C72" s="4">
        <f t="shared" si="9"/>
        <v>46255</v>
      </c>
      <c r="D72" s="4">
        <f t="shared" si="10"/>
        <v>46225</v>
      </c>
      <c r="E72">
        <f t="shared" si="11"/>
        <v>46191</v>
      </c>
      <c r="F72" s="2" t="s">
        <v>185</v>
      </c>
      <c r="G72" t="str">
        <f ca="1"/>
        <v>H32</v>
      </c>
      <c r="H72" s="3" t="str">
        <f t="shared" ca="1" si="12"/>
        <v>Mar32</v>
      </c>
    </row>
    <row r="73" spans="1:8" x14ac:dyDescent="0.25">
      <c r="A73" s="5">
        <f t="shared" si="7"/>
        <v>9</v>
      </c>
      <c r="B73" t="str">
        <f t="shared" si="8"/>
        <v>26</v>
      </c>
      <c r="C73" s="4">
        <f t="shared" si="9"/>
        <v>46283</v>
      </c>
      <c r="D73" s="4">
        <f t="shared" si="10"/>
        <v>46253</v>
      </c>
      <c r="E73">
        <f t="shared" si="11"/>
        <v>46226</v>
      </c>
      <c r="F73" s="2" t="s">
        <v>184</v>
      </c>
      <c r="G73" t="str">
        <f ca="1"/>
        <v>J32</v>
      </c>
      <c r="H73" s="3" t="str">
        <f t="shared" ca="1" si="12"/>
        <v>Apr32</v>
      </c>
    </row>
    <row r="74" spans="1:8" x14ac:dyDescent="0.25">
      <c r="A74" s="5">
        <f t="shared" si="7"/>
        <v>10</v>
      </c>
      <c r="B74" t="str">
        <f t="shared" si="8"/>
        <v>26</v>
      </c>
      <c r="C74" s="4">
        <f t="shared" si="9"/>
        <v>46311</v>
      </c>
      <c r="D74" s="4">
        <f t="shared" si="10"/>
        <v>46281</v>
      </c>
      <c r="E74">
        <f t="shared" si="11"/>
        <v>46254</v>
      </c>
      <c r="F74" s="2" t="s">
        <v>183</v>
      </c>
      <c r="G74" t="str">
        <f ca="1"/>
        <v>K32</v>
      </c>
      <c r="H74" s="3" t="str">
        <f t="shared" ca="1" si="12"/>
        <v>May32</v>
      </c>
    </row>
    <row r="75" spans="1:8" x14ac:dyDescent="0.25">
      <c r="A75" s="5">
        <f t="shared" si="7"/>
        <v>11</v>
      </c>
      <c r="B75" t="str">
        <f t="shared" si="8"/>
        <v>26</v>
      </c>
      <c r="C75" s="4">
        <f t="shared" si="9"/>
        <v>46346</v>
      </c>
      <c r="D75" s="4">
        <f t="shared" si="10"/>
        <v>46316</v>
      </c>
      <c r="E75">
        <f t="shared" si="11"/>
        <v>46282</v>
      </c>
      <c r="F75" s="2" t="s">
        <v>182</v>
      </c>
      <c r="G75" t="str">
        <f ca="1"/>
        <v>M32</v>
      </c>
      <c r="H75" s="3" t="str">
        <f t="shared" ca="1" si="12"/>
        <v>Jun32</v>
      </c>
    </row>
    <row r="76" spans="1:8" x14ac:dyDescent="0.25">
      <c r="A76" s="5">
        <f t="shared" si="7"/>
        <v>12</v>
      </c>
      <c r="B76" t="str">
        <f t="shared" si="8"/>
        <v>26</v>
      </c>
      <c r="C76" s="4">
        <f t="shared" si="9"/>
        <v>46374</v>
      </c>
      <c r="D76" s="4">
        <f t="shared" si="10"/>
        <v>46344</v>
      </c>
      <c r="E76">
        <f t="shared" si="11"/>
        <v>46317</v>
      </c>
      <c r="F76" s="2" t="s">
        <v>181</v>
      </c>
      <c r="G76" t="str">
        <f ca="1"/>
        <v>N32</v>
      </c>
      <c r="H76" s="3" t="str">
        <f t="shared" ca="1" si="12"/>
        <v>Jul32</v>
      </c>
    </row>
    <row r="77" spans="1:8" x14ac:dyDescent="0.25">
      <c r="A77" s="5">
        <f t="shared" si="7"/>
        <v>1</v>
      </c>
      <c r="B77" t="str">
        <f t="shared" si="8"/>
        <v>27</v>
      </c>
      <c r="C77" s="4">
        <f t="shared" si="9"/>
        <v>46402</v>
      </c>
      <c r="D77" s="4">
        <f t="shared" si="10"/>
        <v>46372</v>
      </c>
      <c r="E77">
        <f t="shared" si="11"/>
        <v>46345</v>
      </c>
      <c r="F77" s="2" t="s">
        <v>180</v>
      </c>
      <c r="G77" t="str">
        <f ca="1"/>
        <v>Q32</v>
      </c>
      <c r="H77" s="3" t="str">
        <f t="shared" ca="1" si="12"/>
        <v>Aug32</v>
      </c>
    </row>
    <row r="78" spans="1:8" x14ac:dyDescent="0.25">
      <c r="A78" s="5">
        <f t="shared" si="7"/>
        <v>2</v>
      </c>
      <c r="B78" t="str">
        <f t="shared" si="8"/>
        <v>27</v>
      </c>
      <c r="C78" s="4">
        <f t="shared" si="9"/>
        <v>46437</v>
      </c>
      <c r="D78" s="4">
        <f t="shared" si="10"/>
        <v>46407</v>
      </c>
      <c r="E78">
        <f t="shared" si="11"/>
        <v>46373</v>
      </c>
      <c r="F78" s="2" t="s">
        <v>179</v>
      </c>
      <c r="G78" t="str">
        <f ca="1"/>
        <v>U32</v>
      </c>
      <c r="H78" s="3" t="str">
        <f t="shared" ca="1" si="12"/>
        <v>Sep32</v>
      </c>
    </row>
    <row r="79" spans="1:8" x14ac:dyDescent="0.25">
      <c r="A79" s="5">
        <f t="shared" si="7"/>
        <v>3</v>
      </c>
      <c r="B79" t="str">
        <f t="shared" si="8"/>
        <v>27</v>
      </c>
      <c r="C79" s="4">
        <f t="shared" si="9"/>
        <v>46465</v>
      </c>
      <c r="D79" s="4">
        <f t="shared" si="10"/>
        <v>46435</v>
      </c>
      <c r="E79">
        <f t="shared" si="11"/>
        <v>46408</v>
      </c>
      <c r="F79" s="2" t="s">
        <v>178</v>
      </c>
      <c r="G79" t="str">
        <f ca="1"/>
        <v>V32</v>
      </c>
      <c r="H79" s="3" t="str">
        <f t="shared" ca="1" si="12"/>
        <v>Oct32</v>
      </c>
    </row>
    <row r="80" spans="1:8" x14ac:dyDescent="0.25">
      <c r="A80" s="5">
        <f t="shared" si="7"/>
        <v>4</v>
      </c>
      <c r="B80" t="str">
        <f t="shared" si="8"/>
        <v>27</v>
      </c>
      <c r="C80" s="4">
        <f t="shared" si="9"/>
        <v>46493</v>
      </c>
      <c r="D80" s="4">
        <f t="shared" si="10"/>
        <v>46463</v>
      </c>
      <c r="E80">
        <f t="shared" si="11"/>
        <v>46436</v>
      </c>
      <c r="F80" s="2" t="s">
        <v>177</v>
      </c>
      <c r="G80" t="str">
        <f ca="1"/>
        <v>X32</v>
      </c>
      <c r="H80" s="3" t="str">
        <f t="shared" ca="1" si="12"/>
        <v>Nov32</v>
      </c>
    </row>
    <row r="81" spans="1:8" x14ac:dyDescent="0.25">
      <c r="A81" s="5">
        <f t="shared" si="7"/>
        <v>5</v>
      </c>
      <c r="B81" t="str">
        <f t="shared" si="8"/>
        <v>27</v>
      </c>
      <c r="C81" s="4">
        <f t="shared" si="9"/>
        <v>46528</v>
      </c>
      <c r="D81" s="4">
        <f t="shared" si="10"/>
        <v>46498</v>
      </c>
      <c r="E81">
        <f t="shared" si="11"/>
        <v>46464</v>
      </c>
      <c r="F81" s="2" t="s">
        <v>176</v>
      </c>
      <c r="G81" t="str">
        <f ca="1"/>
        <v>Z32</v>
      </c>
      <c r="H81" s="3" t="str">
        <f t="shared" ca="1" si="12"/>
        <v>Dec32</v>
      </c>
    </row>
    <row r="82" spans="1:8" x14ac:dyDescent="0.25">
      <c r="A82" s="5">
        <f t="shared" si="7"/>
        <v>6</v>
      </c>
      <c r="B82" t="str">
        <f t="shared" si="8"/>
        <v>27</v>
      </c>
      <c r="C82" s="4">
        <f t="shared" si="9"/>
        <v>46556</v>
      </c>
      <c r="D82" s="4">
        <f t="shared" si="10"/>
        <v>46526</v>
      </c>
      <c r="E82">
        <f t="shared" si="11"/>
        <v>46499</v>
      </c>
      <c r="F82" s="2" t="s">
        <v>175</v>
      </c>
      <c r="G82" t="str">
        <f ca="1"/>
        <v>F33</v>
      </c>
      <c r="H82" s="3" t="str">
        <f t="shared" ca="1" si="12"/>
        <v>Jan33</v>
      </c>
    </row>
    <row r="83" spans="1:8" x14ac:dyDescent="0.25">
      <c r="A83" s="5">
        <f t="shared" si="7"/>
        <v>7</v>
      </c>
      <c r="B83" t="str">
        <f t="shared" si="8"/>
        <v>27</v>
      </c>
      <c r="C83" s="4">
        <f t="shared" si="9"/>
        <v>46584</v>
      </c>
      <c r="D83" s="4">
        <f t="shared" si="10"/>
        <v>46554</v>
      </c>
      <c r="E83">
        <f t="shared" si="11"/>
        <v>46527</v>
      </c>
      <c r="F83" s="2" t="s">
        <v>174</v>
      </c>
      <c r="G83" t="str">
        <f ca="1"/>
        <v>G33</v>
      </c>
      <c r="H83" s="3" t="str">
        <f t="shared" ca="1" si="12"/>
        <v>Feb33</v>
      </c>
    </row>
    <row r="84" spans="1:8" x14ac:dyDescent="0.25">
      <c r="A84" s="5">
        <f t="shared" si="7"/>
        <v>8</v>
      </c>
      <c r="B84" t="str">
        <f t="shared" si="8"/>
        <v>27</v>
      </c>
      <c r="C84" s="4">
        <f t="shared" si="9"/>
        <v>46619</v>
      </c>
      <c r="D84" s="4">
        <f t="shared" si="10"/>
        <v>46589</v>
      </c>
      <c r="E84">
        <f t="shared" si="11"/>
        <v>46555</v>
      </c>
      <c r="F84" s="2" t="s">
        <v>173</v>
      </c>
      <c r="G84" t="str">
        <f ca="1"/>
        <v>H33</v>
      </c>
      <c r="H84" s="3" t="str">
        <f t="shared" ca="1" si="12"/>
        <v>Mar33</v>
      </c>
    </row>
    <row r="85" spans="1:8" x14ac:dyDescent="0.25">
      <c r="A85" s="5">
        <f t="shared" si="7"/>
        <v>9</v>
      </c>
      <c r="B85" t="str">
        <f t="shared" si="8"/>
        <v>27</v>
      </c>
      <c r="C85" s="4">
        <f t="shared" si="9"/>
        <v>46647</v>
      </c>
      <c r="D85" s="4">
        <f t="shared" si="10"/>
        <v>46617</v>
      </c>
      <c r="E85">
        <f t="shared" si="11"/>
        <v>46590</v>
      </c>
      <c r="F85" s="2" t="s">
        <v>172</v>
      </c>
      <c r="G85" t="str">
        <f ca="1"/>
        <v>J33</v>
      </c>
      <c r="H85" s="3" t="str">
        <f t="shared" ca="1" si="12"/>
        <v>Apr33</v>
      </c>
    </row>
    <row r="86" spans="1:8" x14ac:dyDescent="0.25">
      <c r="A86" s="5">
        <f t="shared" si="7"/>
        <v>10</v>
      </c>
      <c r="B86" t="str">
        <f t="shared" si="8"/>
        <v>27</v>
      </c>
      <c r="C86" s="4">
        <f t="shared" si="9"/>
        <v>46675</v>
      </c>
      <c r="D86" s="4">
        <f t="shared" si="10"/>
        <v>46645</v>
      </c>
      <c r="E86">
        <f t="shared" si="11"/>
        <v>46618</v>
      </c>
      <c r="F86" s="2" t="s">
        <v>171</v>
      </c>
      <c r="G86" t="str">
        <f ca="1"/>
        <v>K33</v>
      </c>
      <c r="H86" s="3" t="str">
        <f t="shared" ca="1" si="12"/>
        <v>May33</v>
      </c>
    </row>
    <row r="87" spans="1:8" x14ac:dyDescent="0.25">
      <c r="A87" s="5">
        <f t="shared" si="7"/>
        <v>11</v>
      </c>
      <c r="B87" t="str">
        <f t="shared" si="8"/>
        <v>27</v>
      </c>
      <c r="C87" s="4">
        <f t="shared" si="9"/>
        <v>46710</v>
      </c>
      <c r="D87" s="4">
        <f t="shared" si="10"/>
        <v>46680</v>
      </c>
      <c r="E87">
        <f t="shared" si="11"/>
        <v>46646</v>
      </c>
      <c r="F87" s="2" t="s">
        <v>170</v>
      </c>
      <c r="G87" t="str">
        <f ca="1"/>
        <v>M33</v>
      </c>
      <c r="H87" s="3" t="str">
        <f t="shared" ca="1" si="12"/>
        <v>Jun33</v>
      </c>
    </row>
    <row r="88" spans="1:8" x14ac:dyDescent="0.25">
      <c r="A88" s="5">
        <f t="shared" si="7"/>
        <v>12</v>
      </c>
      <c r="B88" t="str">
        <f t="shared" si="8"/>
        <v>27</v>
      </c>
      <c r="C88" s="4">
        <f t="shared" si="9"/>
        <v>46738</v>
      </c>
      <c r="D88" s="4">
        <f t="shared" si="10"/>
        <v>46708</v>
      </c>
      <c r="E88">
        <f t="shared" si="11"/>
        <v>46681</v>
      </c>
      <c r="F88" s="2" t="s">
        <v>169</v>
      </c>
      <c r="G88" t="str">
        <f ca="1"/>
        <v>N33</v>
      </c>
      <c r="H88" s="3" t="str">
        <f t="shared" ca="1" si="12"/>
        <v>Jul33</v>
      </c>
    </row>
    <row r="89" spans="1:8" x14ac:dyDescent="0.25">
      <c r="A89" s="5">
        <f t="shared" si="7"/>
        <v>1</v>
      </c>
      <c r="B89" t="str">
        <f t="shared" si="8"/>
        <v>28</v>
      </c>
      <c r="C89" s="4">
        <f t="shared" si="9"/>
        <v>46773</v>
      </c>
      <c r="D89" s="4">
        <f t="shared" si="10"/>
        <v>46743</v>
      </c>
      <c r="E89">
        <f t="shared" si="11"/>
        <v>46709</v>
      </c>
      <c r="F89" s="2" t="s">
        <v>168</v>
      </c>
      <c r="G89" t="str">
        <f ca="1"/>
        <v>Q33</v>
      </c>
      <c r="H89" s="3" t="str">
        <f t="shared" ca="1" si="12"/>
        <v>Aug33</v>
      </c>
    </row>
    <row r="90" spans="1:8" x14ac:dyDescent="0.25">
      <c r="A90" s="5">
        <f t="shared" si="7"/>
        <v>2</v>
      </c>
      <c r="B90" t="str">
        <f t="shared" si="8"/>
        <v>28</v>
      </c>
      <c r="C90" s="4">
        <f t="shared" si="9"/>
        <v>46801</v>
      </c>
      <c r="D90" s="4">
        <f t="shared" si="10"/>
        <v>46771</v>
      </c>
      <c r="E90">
        <f t="shared" si="11"/>
        <v>46744</v>
      </c>
      <c r="F90" s="2" t="s">
        <v>167</v>
      </c>
      <c r="G90" t="str">
        <f ca="1"/>
        <v>U33</v>
      </c>
      <c r="H90" s="3" t="str">
        <f t="shared" ca="1" si="12"/>
        <v>Sep33</v>
      </c>
    </row>
    <row r="91" spans="1:8" x14ac:dyDescent="0.25">
      <c r="A91" s="5">
        <f t="shared" si="7"/>
        <v>3</v>
      </c>
      <c r="B91" t="str">
        <f t="shared" si="8"/>
        <v>28</v>
      </c>
      <c r="C91" s="4">
        <f t="shared" si="9"/>
        <v>46829</v>
      </c>
      <c r="D91" s="4">
        <f t="shared" si="10"/>
        <v>46799</v>
      </c>
      <c r="E91">
        <f t="shared" si="11"/>
        <v>46772</v>
      </c>
      <c r="F91" s="2" t="s">
        <v>166</v>
      </c>
      <c r="G91" t="str">
        <f ca="1"/>
        <v>V33</v>
      </c>
      <c r="H91" s="3" t="str">
        <f t="shared" ca="1" si="12"/>
        <v>Oct33</v>
      </c>
    </row>
    <row r="92" spans="1:8" x14ac:dyDescent="0.25">
      <c r="A92" s="5">
        <f t="shared" si="7"/>
        <v>4</v>
      </c>
      <c r="B92" t="str">
        <f t="shared" si="8"/>
        <v>28</v>
      </c>
      <c r="C92" s="4">
        <f t="shared" si="9"/>
        <v>46864</v>
      </c>
      <c r="D92" s="4">
        <f t="shared" si="10"/>
        <v>46834</v>
      </c>
      <c r="E92">
        <f t="shared" si="11"/>
        <v>46800</v>
      </c>
      <c r="F92" s="2" t="s">
        <v>165</v>
      </c>
      <c r="G92" t="str">
        <f ca="1"/>
        <v>X33</v>
      </c>
      <c r="H92" s="3" t="str">
        <f t="shared" ca="1" si="12"/>
        <v>Nov33</v>
      </c>
    </row>
    <row r="93" spans="1:8" x14ac:dyDescent="0.25">
      <c r="A93" s="5">
        <f t="shared" si="7"/>
        <v>5</v>
      </c>
      <c r="B93" t="str">
        <f t="shared" si="8"/>
        <v>28</v>
      </c>
      <c r="C93" s="4">
        <f t="shared" si="9"/>
        <v>46892</v>
      </c>
      <c r="D93" s="4">
        <f t="shared" si="10"/>
        <v>46862</v>
      </c>
      <c r="E93">
        <f t="shared" si="11"/>
        <v>46835</v>
      </c>
      <c r="F93" s="2" t="s">
        <v>164</v>
      </c>
      <c r="G93" t="str">
        <f ca="1"/>
        <v>Z33</v>
      </c>
      <c r="H93" s="3" t="str">
        <f t="shared" ca="1" si="12"/>
        <v>Dec33</v>
      </c>
    </row>
    <row r="94" spans="1:8" x14ac:dyDescent="0.25">
      <c r="A94" s="5">
        <f t="shared" si="7"/>
        <v>6</v>
      </c>
      <c r="B94" t="str">
        <f t="shared" si="8"/>
        <v>28</v>
      </c>
      <c r="C94" s="4">
        <f t="shared" si="9"/>
        <v>46920</v>
      </c>
      <c r="D94" s="4">
        <f t="shared" si="10"/>
        <v>46890</v>
      </c>
      <c r="E94">
        <f t="shared" si="11"/>
        <v>46863</v>
      </c>
      <c r="F94" s="2" t="s">
        <v>163</v>
      </c>
      <c r="G94" t="str">
        <f ca="1"/>
        <v>F34</v>
      </c>
      <c r="H94" s="3" t="str">
        <f t="shared" ca="1" si="12"/>
        <v>Jan34</v>
      </c>
    </row>
    <row r="95" spans="1:8" x14ac:dyDescent="0.25">
      <c r="A95" s="5">
        <f t="shared" si="7"/>
        <v>7</v>
      </c>
      <c r="B95" t="str">
        <f t="shared" si="8"/>
        <v>28</v>
      </c>
      <c r="C95" s="4">
        <f t="shared" si="9"/>
        <v>46955</v>
      </c>
      <c r="D95" s="4">
        <f t="shared" si="10"/>
        <v>46925</v>
      </c>
      <c r="E95">
        <f t="shared" si="11"/>
        <v>46891</v>
      </c>
      <c r="F95" s="2" t="s">
        <v>162</v>
      </c>
      <c r="G95" t="str">
        <f ca="1"/>
        <v>G34</v>
      </c>
      <c r="H95" s="3" t="str">
        <f t="shared" ca="1" si="12"/>
        <v>Feb34</v>
      </c>
    </row>
    <row r="96" spans="1:8" x14ac:dyDescent="0.25">
      <c r="A96" s="5">
        <f t="shared" si="7"/>
        <v>8</v>
      </c>
      <c r="B96" t="str">
        <f t="shared" si="8"/>
        <v>28</v>
      </c>
      <c r="C96" s="4">
        <f t="shared" si="9"/>
        <v>46983</v>
      </c>
      <c r="D96" s="4">
        <f t="shared" si="10"/>
        <v>46953</v>
      </c>
      <c r="E96">
        <f t="shared" si="11"/>
        <v>46926</v>
      </c>
      <c r="F96" s="2" t="s">
        <v>161</v>
      </c>
      <c r="G96" t="str">
        <f ca="1"/>
        <v>H34</v>
      </c>
      <c r="H96" s="3" t="str">
        <f t="shared" ca="1" si="12"/>
        <v>Mar34</v>
      </c>
    </row>
    <row r="97" spans="1:8" x14ac:dyDescent="0.25">
      <c r="A97" s="5">
        <f t="shared" si="7"/>
        <v>9</v>
      </c>
      <c r="B97" t="str">
        <f t="shared" si="8"/>
        <v>28</v>
      </c>
      <c r="C97" s="4">
        <f t="shared" si="9"/>
        <v>47011</v>
      </c>
      <c r="D97" s="4">
        <f t="shared" si="10"/>
        <v>46981</v>
      </c>
      <c r="E97">
        <f t="shared" si="11"/>
        <v>46954</v>
      </c>
      <c r="F97" s="2" t="s">
        <v>160</v>
      </c>
      <c r="G97" t="str">
        <f ca="1"/>
        <v>J34</v>
      </c>
      <c r="H97" s="3" t="str">
        <f t="shared" ca="1" si="12"/>
        <v>Apr34</v>
      </c>
    </row>
    <row r="98" spans="1:8" x14ac:dyDescent="0.25">
      <c r="A98" s="5">
        <f t="shared" si="7"/>
        <v>10</v>
      </c>
      <c r="B98" t="str">
        <f t="shared" si="8"/>
        <v>28</v>
      </c>
      <c r="C98" s="4">
        <f t="shared" si="9"/>
        <v>47046</v>
      </c>
      <c r="D98" s="4">
        <f t="shared" si="10"/>
        <v>47016</v>
      </c>
      <c r="E98">
        <f t="shared" si="11"/>
        <v>46982</v>
      </c>
      <c r="F98" s="2" t="s">
        <v>159</v>
      </c>
      <c r="G98" t="str">
        <f ca="1"/>
        <v>K34</v>
      </c>
      <c r="H98" s="3" t="str">
        <f t="shared" ca="1" si="12"/>
        <v>May34</v>
      </c>
    </row>
    <row r="99" spans="1:8" x14ac:dyDescent="0.25">
      <c r="A99" s="5">
        <f t="shared" si="7"/>
        <v>11</v>
      </c>
      <c r="B99" t="str">
        <f t="shared" si="8"/>
        <v>28</v>
      </c>
      <c r="C99" s="4">
        <f t="shared" si="9"/>
        <v>47074</v>
      </c>
      <c r="D99" s="4">
        <f t="shared" si="10"/>
        <v>47044</v>
      </c>
      <c r="E99">
        <f t="shared" si="11"/>
        <v>47017</v>
      </c>
      <c r="F99" s="2" t="s">
        <v>158</v>
      </c>
      <c r="G99" t="str">
        <f ca="1"/>
        <v>M34</v>
      </c>
      <c r="H99" s="3" t="str">
        <f t="shared" ca="1" si="12"/>
        <v>Jun34</v>
      </c>
    </row>
    <row r="100" spans="1:8" x14ac:dyDescent="0.25">
      <c r="A100" s="5">
        <f t="shared" si="7"/>
        <v>12</v>
      </c>
      <c r="B100" t="str">
        <f t="shared" si="8"/>
        <v>28</v>
      </c>
      <c r="C100" s="4">
        <f t="shared" si="9"/>
        <v>47102</v>
      </c>
      <c r="D100" s="4">
        <f t="shared" si="10"/>
        <v>47072</v>
      </c>
      <c r="E100">
        <f t="shared" si="11"/>
        <v>47045</v>
      </c>
      <c r="F100" s="2" t="s">
        <v>157</v>
      </c>
      <c r="G100" t="str">
        <f ca="1"/>
        <v>N34</v>
      </c>
      <c r="H100" s="3" t="str">
        <f t="shared" ca="1" si="12"/>
        <v>Jul34</v>
      </c>
    </row>
    <row r="101" spans="1:8" x14ac:dyDescent="0.25">
      <c r="A101" s="5">
        <f t="shared" si="7"/>
        <v>1</v>
      </c>
      <c r="B101" t="str">
        <f t="shared" si="8"/>
        <v>29</v>
      </c>
      <c r="C101" s="4">
        <f t="shared" si="9"/>
        <v>47137</v>
      </c>
      <c r="D101" s="4">
        <f t="shared" si="10"/>
        <v>47107</v>
      </c>
      <c r="E101">
        <f t="shared" si="11"/>
        <v>47073</v>
      </c>
      <c r="F101" s="2" t="s">
        <v>156</v>
      </c>
      <c r="G101" t="str">
        <f ca="1"/>
        <v>Q34</v>
      </c>
      <c r="H101" s="3" t="str">
        <f t="shared" ca="1" si="12"/>
        <v>Aug34</v>
      </c>
    </row>
    <row r="102" spans="1:8" x14ac:dyDescent="0.25">
      <c r="A102" s="5">
        <f t="shared" si="7"/>
        <v>2</v>
      </c>
      <c r="B102" t="str">
        <f t="shared" si="8"/>
        <v>29</v>
      </c>
      <c r="C102" s="4">
        <f t="shared" si="9"/>
        <v>47165</v>
      </c>
      <c r="D102" s="4">
        <f t="shared" si="10"/>
        <v>47135</v>
      </c>
      <c r="E102">
        <f t="shared" si="11"/>
        <v>47108</v>
      </c>
      <c r="F102" s="2" t="s">
        <v>155</v>
      </c>
      <c r="G102" t="str">
        <f ca="1"/>
        <v>U34</v>
      </c>
      <c r="H102" s="3" t="str">
        <f t="shared" ca="1" si="12"/>
        <v>Sep34</v>
      </c>
    </row>
    <row r="103" spans="1:8" x14ac:dyDescent="0.25">
      <c r="A103" s="5">
        <f t="shared" si="7"/>
        <v>3</v>
      </c>
      <c r="B103" t="str">
        <f t="shared" si="8"/>
        <v>29</v>
      </c>
      <c r="C103" s="4">
        <f t="shared" si="9"/>
        <v>47193</v>
      </c>
      <c r="D103" s="4">
        <f t="shared" si="10"/>
        <v>47163</v>
      </c>
      <c r="E103">
        <f t="shared" si="11"/>
        <v>47136</v>
      </c>
      <c r="F103" s="2" t="s">
        <v>154</v>
      </c>
      <c r="G103" t="str">
        <f ca="1"/>
        <v>V34</v>
      </c>
      <c r="H103" s="3" t="str">
        <f t="shared" ca="1" si="12"/>
        <v>Oct34</v>
      </c>
    </row>
    <row r="104" spans="1:8" x14ac:dyDescent="0.25">
      <c r="A104" s="5">
        <f t="shared" si="7"/>
        <v>4</v>
      </c>
      <c r="B104" t="str">
        <f t="shared" si="8"/>
        <v>29</v>
      </c>
      <c r="C104" s="4">
        <f t="shared" si="9"/>
        <v>47228</v>
      </c>
      <c r="D104" s="4">
        <f t="shared" si="10"/>
        <v>47198</v>
      </c>
      <c r="E104">
        <f t="shared" si="11"/>
        <v>47164</v>
      </c>
      <c r="F104" s="2" t="s">
        <v>153</v>
      </c>
      <c r="G104" t="str">
        <f ca="1"/>
        <v>X34</v>
      </c>
      <c r="H104" s="3" t="str">
        <f t="shared" ca="1" si="12"/>
        <v>Nov34</v>
      </c>
    </row>
    <row r="105" spans="1:8" x14ac:dyDescent="0.25">
      <c r="A105" s="5">
        <f t="shared" si="7"/>
        <v>5</v>
      </c>
      <c r="B105" t="str">
        <f t="shared" si="8"/>
        <v>29</v>
      </c>
      <c r="C105" s="4">
        <f t="shared" si="9"/>
        <v>47256</v>
      </c>
      <c r="D105" s="4">
        <f t="shared" si="10"/>
        <v>47226</v>
      </c>
      <c r="E105">
        <f t="shared" si="11"/>
        <v>47199</v>
      </c>
      <c r="F105" s="2" t="s">
        <v>152</v>
      </c>
      <c r="G105" t="str">
        <f ca="1"/>
        <v>Z34</v>
      </c>
      <c r="H105" s="3" t="str">
        <f t="shared" ca="1" si="12"/>
        <v>Dec34</v>
      </c>
    </row>
    <row r="106" spans="1:8" x14ac:dyDescent="0.25">
      <c r="A106" s="5">
        <f t="shared" si="7"/>
        <v>6</v>
      </c>
      <c r="B106" t="str">
        <f t="shared" si="8"/>
        <v>29</v>
      </c>
      <c r="C106" s="4">
        <f t="shared" si="9"/>
        <v>47284</v>
      </c>
      <c r="D106" s="4">
        <f t="shared" si="10"/>
        <v>47254</v>
      </c>
      <c r="E106">
        <f t="shared" si="11"/>
        <v>47227</v>
      </c>
      <c r="F106" s="2" t="s">
        <v>151</v>
      </c>
      <c r="G106" t="str">
        <f ca="1"/>
        <v>F35</v>
      </c>
      <c r="H106" s="3" t="str">
        <f t="shared" ca="1" si="12"/>
        <v>Jan35</v>
      </c>
    </row>
    <row r="107" spans="1:8" x14ac:dyDescent="0.25">
      <c r="A107" s="5">
        <f t="shared" si="7"/>
        <v>7</v>
      </c>
      <c r="B107" t="str">
        <f t="shared" si="8"/>
        <v>29</v>
      </c>
      <c r="C107" s="4">
        <f t="shared" si="9"/>
        <v>47319</v>
      </c>
      <c r="D107" s="4">
        <f t="shared" si="10"/>
        <v>47289</v>
      </c>
      <c r="E107">
        <f t="shared" si="11"/>
        <v>47255</v>
      </c>
      <c r="F107" s="2" t="s">
        <v>150</v>
      </c>
      <c r="G107" t="str">
        <f ca="1"/>
        <v>G35</v>
      </c>
      <c r="H107" s="3" t="str">
        <f t="shared" ca="1" si="12"/>
        <v>Feb35</v>
      </c>
    </row>
    <row r="108" spans="1:8" x14ac:dyDescent="0.25">
      <c r="A108" s="5">
        <f t="shared" si="7"/>
        <v>8</v>
      </c>
      <c r="B108" t="str">
        <f t="shared" si="8"/>
        <v>29</v>
      </c>
      <c r="C108" s="4">
        <f t="shared" si="9"/>
        <v>47347</v>
      </c>
      <c r="D108" s="4">
        <f t="shared" si="10"/>
        <v>47317</v>
      </c>
      <c r="E108">
        <f t="shared" si="11"/>
        <v>47290</v>
      </c>
      <c r="F108" s="2" t="s">
        <v>149</v>
      </c>
      <c r="G108" t="str">
        <f ca="1"/>
        <v>H35</v>
      </c>
      <c r="H108" s="3" t="str">
        <f t="shared" ca="1" si="12"/>
        <v>Mar35</v>
      </c>
    </row>
    <row r="109" spans="1:8" x14ac:dyDescent="0.25">
      <c r="A109" s="5">
        <f t="shared" si="7"/>
        <v>9</v>
      </c>
      <c r="B109" t="str">
        <f t="shared" si="8"/>
        <v>29</v>
      </c>
      <c r="C109" s="4">
        <f t="shared" si="9"/>
        <v>47382</v>
      </c>
      <c r="D109" s="4">
        <f t="shared" si="10"/>
        <v>47352</v>
      </c>
      <c r="E109">
        <f t="shared" si="11"/>
        <v>47318</v>
      </c>
      <c r="F109" s="2" t="s">
        <v>148</v>
      </c>
      <c r="G109" t="str">
        <f ca="1"/>
        <v>J35</v>
      </c>
      <c r="H109" s="3" t="str">
        <f t="shared" ca="1" si="12"/>
        <v>Apr35</v>
      </c>
    </row>
    <row r="110" spans="1:8" x14ac:dyDescent="0.25">
      <c r="A110" s="5">
        <f t="shared" si="7"/>
        <v>10</v>
      </c>
      <c r="B110" t="str">
        <f t="shared" si="8"/>
        <v>29</v>
      </c>
      <c r="C110" s="4">
        <f t="shared" si="9"/>
        <v>47410</v>
      </c>
      <c r="D110" s="4">
        <f t="shared" si="10"/>
        <v>47380</v>
      </c>
      <c r="E110">
        <f t="shared" si="11"/>
        <v>47353</v>
      </c>
      <c r="F110" s="2" t="s">
        <v>147</v>
      </c>
      <c r="G110" t="str">
        <f ca="1"/>
        <v>K35</v>
      </c>
      <c r="H110" s="3" t="str">
        <f t="shared" ca="1" si="12"/>
        <v>May35</v>
      </c>
    </row>
    <row r="111" spans="1:8" x14ac:dyDescent="0.25">
      <c r="A111" s="5">
        <f t="shared" si="7"/>
        <v>11</v>
      </c>
      <c r="B111" t="str">
        <f t="shared" si="8"/>
        <v>29</v>
      </c>
      <c r="C111" s="4">
        <f t="shared" si="9"/>
        <v>47438</v>
      </c>
      <c r="D111" s="4">
        <f t="shared" si="10"/>
        <v>47408</v>
      </c>
      <c r="E111">
        <f t="shared" si="11"/>
        <v>47381</v>
      </c>
      <c r="F111" s="2" t="s">
        <v>146</v>
      </c>
      <c r="G111" t="str">
        <f ca="1"/>
        <v>M35</v>
      </c>
      <c r="H111" s="3" t="str">
        <f t="shared" ca="1" si="12"/>
        <v>Jun35</v>
      </c>
    </row>
    <row r="112" spans="1:8" x14ac:dyDescent="0.25">
      <c r="A112" s="5">
        <f t="shared" si="7"/>
        <v>12</v>
      </c>
      <c r="B112" t="str">
        <f t="shared" si="8"/>
        <v>29</v>
      </c>
      <c r="C112" s="4">
        <f t="shared" si="9"/>
        <v>47473</v>
      </c>
      <c r="D112" s="4">
        <f t="shared" si="10"/>
        <v>47443</v>
      </c>
      <c r="E112">
        <f t="shared" si="11"/>
        <v>47409</v>
      </c>
      <c r="F112" s="2" t="s">
        <v>145</v>
      </c>
      <c r="G112" t="str">
        <f ca="1"/>
        <v>N35</v>
      </c>
      <c r="H112" s="3" t="str">
        <f t="shared" ca="1" si="12"/>
        <v>Jul35</v>
      </c>
    </row>
    <row r="113" spans="1:8" x14ac:dyDescent="0.25">
      <c r="A113" s="5">
        <f t="shared" si="7"/>
        <v>1</v>
      </c>
      <c r="B113" t="str">
        <f t="shared" si="8"/>
        <v>30</v>
      </c>
      <c r="C113" s="4">
        <f t="shared" si="9"/>
        <v>47501</v>
      </c>
      <c r="D113" s="4">
        <f t="shared" si="10"/>
        <v>47471</v>
      </c>
      <c r="E113">
        <f t="shared" si="11"/>
        <v>47444</v>
      </c>
      <c r="F113" s="2" t="s">
        <v>144</v>
      </c>
      <c r="G113" t="str">
        <f ca="1"/>
        <v>Q35</v>
      </c>
      <c r="H113" s="3" t="str">
        <f t="shared" ca="1" si="12"/>
        <v>Aug35</v>
      </c>
    </row>
    <row r="114" spans="1:8" x14ac:dyDescent="0.25">
      <c r="A114" s="5">
        <f t="shared" si="7"/>
        <v>2</v>
      </c>
      <c r="B114" t="str">
        <f t="shared" si="8"/>
        <v>30</v>
      </c>
      <c r="C114" s="4">
        <f t="shared" si="9"/>
        <v>47529</v>
      </c>
      <c r="D114" s="4">
        <f t="shared" si="10"/>
        <v>47499</v>
      </c>
      <c r="E114">
        <f t="shared" si="11"/>
        <v>47472</v>
      </c>
      <c r="F114" s="2" t="s">
        <v>143</v>
      </c>
      <c r="G114" t="str">
        <f ca="1"/>
        <v>U35</v>
      </c>
      <c r="H114" s="3" t="str">
        <f t="shared" ca="1" si="12"/>
        <v>Sep35</v>
      </c>
    </row>
    <row r="115" spans="1:8" x14ac:dyDescent="0.25">
      <c r="A115" s="5">
        <f t="shared" si="7"/>
        <v>3</v>
      </c>
      <c r="B115" t="str">
        <f t="shared" si="8"/>
        <v>30</v>
      </c>
      <c r="C115" s="4">
        <f t="shared" si="9"/>
        <v>47557</v>
      </c>
      <c r="D115" s="4">
        <f t="shared" si="10"/>
        <v>47527</v>
      </c>
      <c r="E115">
        <f t="shared" si="11"/>
        <v>47500</v>
      </c>
      <c r="F115" s="2" t="s">
        <v>142</v>
      </c>
      <c r="G115" t="str">
        <f ca="1"/>
        <v>V35</v>
      </c>
      <c r="H115" s="3" t="str">
        <f t="shared" ca="1" si="12"/>
        <v>Oct35</v>
      </c>
    </row>
    <row r="116" spans="1:8" x14ac:dyDescent="0.25">
      <c r="A116" s="5">
        <f t="shared" si="7"/>
        <v>4</v>
      </c>
      <c r="B116" t="str">
        <f t="shared" si="8"/>
        <v>30</v>
      </c>
      <c r="C116" s="4">
        <f t="shared" si="9"/>
        <v>47592</v>
      </c>
      <c r="D116" s="4">
        <f t="shared" si="10"/>
        <v>47562</v>
      </c>
      <c r="E116">
        <f t="shared" si="11"/>
        <v>47528</v>
      </c>
      <c r="F116" s="2" t="s">
        <v>141</v>
      </c>
      <c r="G116" t="str">
        <f ca="1"/>
        <v>X35</v>
      </c>
      <c r="H116" s="3" t="str">
        <f t="shared" ca="1" si="12"/>
        <v>Nov35</v>
      </c>
    </row>
    <row r="117" spans="1:8" x14ac:dyDescent="0.25">
      <c r="A117" s="5">
        <f t="shared" si="7"/>
        <v>5</v>
      </c>
      <c r="B117" t="str">
        <f t="shared" si="8"/>
        <v>30</v>
      </c>
      <c r="C117" s="4">
        <f t="shared" si="9"/>
        <v>47620</v>
      </c>
      <c r="D117" s="4">
        <f t="shared" si="10"/>
        <v>47590</v>
      </c>
      <c r="E117">
        <f t="shared" si="11"/>
        <v>47563</v>
      </c>
      <c r="F117" s="2" t="s">
        <v>140</v>
      </c>
      <c r="G117" t="str">
        <f ca="1"/>
        <v>Z35</v>
      </c>
      <c r="H117" s="3" t="str">
        <f t="shared" ca="1" si="12"/>
        <v>Dec35</v>
      </c>
    </row>
    <row r="118" spans="1:8" x14ac:dyDescent="0.25">
      <c r="A118" s="5">
        <f t="shared" si="7"/>
        <v>6</v>
      </c>
      <c r="B118" t="str">
        <f t="shared" si="8"/>
        <v>30</v>
      </c>
      <c r="C118" s="4">
        <f t="shared" si="9"/>
        <v>47655</v>
      </c>
      <c r="D118" s="4">
        <f t="shared" si="10"/>
        <v>47625</v>
      </c>
      <c r="E118">
        <f t="shared" si="11"/>
        <v>47591</v>
      </c>
      <c r="F118" s="2" t="s">
        <v>139</v>
      </c>
      <c r="G118" t="str">
        <f ca="1"/>
        <v>F36</v>
      </c>
      <c r="H118" s="3" t="str">
        <f t="shared" ca="1" si="12"/>
        <v>Jan36</v>
      </c>
    </row>
    <row r="119" spans="1:8" x14ac:dyDescent="0.25">
      <c r="A119" s="5">
        <f t="shared" si="7"/>
        <v>7</v>
      </c>
      <c r="B119" t="str">
        <f t="shared" si="8"/>
        <v>30</v>
      </c>
      <c r="C119" s="4">
        <f t="shared" si="9"/>
        <v>47683</v>
      </c>
      <c r="D119" s="4">
        <f t="shared" si="10"/>
        <v>47653</v>
      </c>
      <c r="E119">
        <f t="shared" si="11"/>
        <v>47626</v>
      </c>
      <c r="F119" s="2" t="s">
        <v>138</v>
      </c>
      <c r="G119" t="str">
        <f ca="1"/>
        <v>G36</v>
      </c>
      <c r="H119" s="3" t="str">
        <f t="shared" ca="1" si="12"/>
        <v>Feb36</v>
      </c>
    </row>
    <row r="120" spans="1:8" x14ac:dyDescent="0.25">
      <c r="A120" s="5">
        <f t="shared" si="7"/>
        <v>8</v>
      </c>
      <c r="B120" t="str">
        <f t="shared" si="8"/>
        <v>30</v>
      </c>
      <c r="C120" s="4">
        <f t="shared" si="9"/>
        <v>47711</v>
      </c>
      <c r="D120" s="4">
        <f t="shared" si="10"/>
        <v>47681</v>
      </c>
      <c r="E120">
        <f t="shared" si="11"/>
        <v>47654</v>
      </c>
      <c r="F120" s="2" t="s">
        <v>137</v>
      </c>
      <c r="G120" t="str">
        <f ca="1"/>
        <v>H36</v>
      </c>
      <c r="H120" s="3" t="str">
        <f t="shared" ca="1" si="12"/>
        <v>Mar36</v>
      </c>
    </row>
    <row r="121" spans="1:8" x14ac:dyDescent="0.25">
      <c r="A121" s="5">
        <f t="shared" si="7"/>
        <v>9</v>
      </c>
      <c r="B121" t="str">
        <f t="shared" si="8"/>
        <v>30</v>
      </c>
      <c r="C121" s="4">
        <f t="shared" si="9"/>
        <v>47746</v>
      </c>
      <c r="D121" s="4">
        <f t="shared" si="10"/>
        <v>47716</v>
      </c>
      <c r="E121">
        <f t="shared" si="11"/>
        <v>47682</v>
      </c>
      <c r="F121" s="2" t="s">
        <v>136</v>
      </c>
      <c r="G121" t="str">
        <f ca="1"/>
        <v>J36</v>
      </c>
      <c r="H121" s="3" t="str">
        <f t="shared" ca="1" si="12"/>
        <v>Apr36</v>
      </c>
    </row>
    <row r="122" spans="1:8" x14ac:dyDescent="0.25">
      <c r="A122" s="5">
        <f t="shared" si="7"/>
        <v>10</v>
      </c>
      <c r="B122" t="str">
        <f t="shared" si="8"/>
        <v>30</v>
      </c>
      <c r="C122" s="4">
        <f t="shared" si="9"/>
        <v>47774</v>
      </c>
      <c r="D122" s="4">
        <f t="shared" si="10"/>
        <v>47744</v>
      </c>
      <c r="E122">
        <f t="shared" si="11"/>
        <v>47717</v>
      </c>
      <c r="F122" s="2" t="s">
        <v>135</v>
      </c>
      <c r="G122" t="str">
        <f ca="1"/>
        <v>K36</v>
      </c>
      <c r="H122" s="3" t="str">
        <f t="shared" ca="1" si="12"/>
        <v>May36</v>
      </c>
    </row>
    <row r="123" spans="1:8" x14ac:dyDescent="0.25">
      <c r="A123" s="5">
        <f t="shared" si="7"/>
        <v>11</v>
      </c>
      <c r="B123" t="str">
        <f t="shared" si="8"/>
        <v>30</v>
      </c>
      <c r="C123" s="4">
        <f t="shared" si="9"/>
        <v>47802</v>
      </c>
      <c r="D123" s="4">
        <f t="shared" si="10"/>
        <v>47772</v>
      </c>
      <c r="E123">
        <f t="shared" si="11"/>
        <v>47745</v>
      </c>
      <c r="F123" s="2" t="s">
        <v>134</v>
      </c>
      <c r="G123" t="str">
        <f ca="1"/>
        <v>M36</v>
      </c>
      <c r="H123" s="3" t="str">
        <f t="shared" ca="1" si="12"/>
        <v>Jun36</v>
      </c>
    </row>
    <row r="124" spans="1:8" x14ac:dyDescent="0.25">
      <c r="A124" s="5">
        <f t="shared" si="7"/>
        <v>12</v>
      </c>
      <c r="B124" t="str">
        <f t="shared" si="8"/>
        <v>30</v>
      </c>
      <c r="C124" s="4">
        <f t="shared" si="9"/>
        <v>47837</v>
      </c>
      <c r="D124" s="4">
        <f t="shared" si="10"/>
        <v>47807</v>
      </c>
      <c r="E124">
        <f t="shared" si="11"/>
        <v>47773</v>
      </c>
      <c r="F124" s="2" t="s">
        <v>133</v>
      </c>
      <c r="G124" t="str">
        <f ca="1"/>
        <v>N36</v>
      </c>
      <c r="H124" s="3" t="str">
        <f t="shared" ca="1" si="12"/>
        <v>Jul36</v>
      </c>
    </row>
    <row r="125" spans="1:8" x14ac:dyDescent="0.25">
      <c r="A125" s="5">
        <f t="shared" si="7"/>
        <v>1</v>
      </c>
      <c r="B125" t="str">
        <f t="shared" si="8"/>
        <v>31</v>
      </c>
      <c r="C125" s="4">
        <f t="shared" si="9"/>
        <v>47865</v>
      </c>
      <c r="D125" s="4">
        <f t="shared" si="10"/>
        <v>47835</v>
      </c>
      <c r="E125">
        <f t="shared" si="11"/>
        <v>47808</v>
      </c>
      <c r="F125" s="2" t="s">
        <v>132</v>
      </c>
      <c r="G125" t="str">
        <f ca="1"/>
        <v>Q36</v>
      </c>
      <c r="H125" s="3" t="str">
        <f t="shared" ca="1" si="12"/>
        <v>Aug36</v>
      </c>
    </row>
    <row r="126" spans="1:8" x14ac:dyDescent="0.25">
      <c r="A126" s="5">
        <f t="shared" si="7"/>
        <v>2</v>
      </c>
      <c r="B126" t="str">
        <f t="shared" si="8"/>
        <v>31</v>
      </c>
      <c r="C126" s="4">
        <f t="shared" si="9"/>
        <v>47900</v>
      </c>
      <c r="D126" s="4">
        <f t="shared" si="10"/>
        <v>47870</v>
      </c>
      <c r="E126">
        <f t="shared" si="11"/>
        <v>47836</v>
      </c>
      <c r="F126" s="7" t="s">
        <v>131</v>
      </c>
      <c r="G126" s="6" t="str">
        <f ca="1"/>
        <v>U36</v>
      </c>
      <c r="H126" s="3" t="str">
        <f t="shared" ca="1" si="12"/>
        <v>Sep36</v>
      </c>
    </row>
    <row r="127" spans="1:8" x14ac:dyDescent="0.25">
      <c r="A127" s="5">
        <f t="shared" si="7"/>
        <v>3</v>
      </c>
      <c r="B127" t="str">
        <f t="shared" si="8"/>
        <v>31</v>
      </c>
      <c r="C127" s="4">
        <f t="shared" si="9"/>
        <v>47928</v>
      </c>
      <c r="D127" s="4">
        <f t="shared" si="10"/>
        <v>47898</v>
      </c>
      <c r="E127">
        <f t="shared" si="11"/>
        <v>47871</v>
      </c>
      <c r="F127" s="2" t="s">
        <v>130</v>
      </c>
      <c r="G127" t="str">
        <f ca="1"/>
        <v>V36</v>
      </c>
      <c r="H127" s="3" t="str">
        <f t="shared" ca="1" si="12"/>
        <v>Oct36</v>
      </c>
    </row>
    <row r="128" spans="1:8" x14ac:dyDescent="0.25">
      <c r="A128" s="5">
        <f t="shared" si="7"/>
        <v>4</v>
      </c>
      <c r="B128" t="str">
        <f t="shared" si="8"/>
        <v>31</v>
      </c>
      <c r="C128" s="4">
        <f t="shared" si="9"/>
        <v>47956</v>
      </c>
      <c r="D128" s="4">
        <f t="shared" si="10"/>
        <v>47926</v>
      </c>
      <c r="E128">
        <f t="shared" si="11"/>
        <v>47899</v>
      </c>
      <c r="F128" s="2" t="s">
        <v>129</v>
      </c>
      <c r="G128" t="str">
        <f ca="1"/>
        <v>X36</v>
      </c>
      <c r="H128" s="3" t="str">
        <f t="shared" ca="1" si="12"/>
        <v>Nov36</v>
      </c>
    </row>
    <row r="129" spans="1:8" x14ac:dyDescent="0.25">
      <c r="A129" s="5">
        <f t="shared" si="7"/>
        <v>5</v>
      </c>
      <c r="B129" t="str">
        <f t="shared" si="8"/>
        <v>31</v>
      </c>
      <c r="C129" s="4">
        <f t="shared" si="9"/>
        <v>47984</v>
      </c>
      <c r="D129" s="4">
        <f t="shared" si="10"/>
        <v>47954</v>
      </c>
      <c r="E129">
        <f t="shared" si="11"/>
        <v>47927</v>
      </c>
      <c r="F129" s="2" t="s">
        <v>128</v>
      </c>
      <c r="G129" t="str">
        <f ca="1"/>
        <v>Z36</v>
      </c>
      <c r="H129" s="3" t="str">
        <f t="shared" ca="1" si="12"/>
        <v>Dec36</v>
      </c>
    </row>
    <row r="130" spans="1:8" x14ac:dyDescent="0.25">
      <c r="A130" s="5">
        <f t="shared" si="7"/>
        <v>6</v>
      </c>
      <c r="B130" t="str">
        <f t="shared" si="8"/>
        <v>31</v>
      </c>
      <c r="C130" s="4">
        <f t="shared" si="9"/>
        <v>48019</v>
      </c>
      <c r="D130" s="4">
        <f t="shared" si="10"/>
        <v>47989</v>
      </c>
      <c r="E130">
        <f t="shared" si="11"/>
        <v>47955</v>
      </c>
      <c r="F130" s="2" t="s">
        <v>127</v>
      </c>
      <c r="G130" t="str">
        <f ca="1"/>
        <v>F37</v>
      </c>
      <c r="H130" s="3" t="str">
        <f t="shared" ca="1" si="12"/>
        <v>Jan37</v>
      </c>
    </row>
    <row r="131" spans="1:8" x14ac:dyDescent="0.25">
      <c r="A131" s="5">
        <f t="shared" si="7"/>
        <v>7</v>
      </c>
      <c r="B131" t="str">
        <f t="shared" si="8"/>
        <v>31</v>
      </c>
      <c r="C131" s="4">
        <f t="shared" si="9"/>
        <v>48047</v>
      </c>
      <c r="D131" s="4">
        <f t="shared" si="10"/>
        <v>48017</v>
      </c>
      <c r="E131">
        <f t="shared" si="11"/>
        <v>47990</v>
      </c>
      <c r="F131" s="2" t="s">
        <v>126</v>
      </c>
      <c r="G131" t="str">
        <f ca="1"/>
        <v>G37</v>
      </c>
      <c r="H131" s="3" t="str">
        <f t="shared" ca="1" si="12"/>
        <v>Feb37</v>
      </c>
    </row>
    <row r="132" spans="1:8" x14ac:dyDescent="0.25">
      <c r="A132" s="5">
        <f t="shared" si="7"/>
        <v>8</v>
      </c>
      <c r="B132" t="str">
        <f t="shared" si="8"/>
        <v>31</v>
      </c>
      <c r="C132" s="4">
        <f t="shared" si="9"/>
        <v>48075</v>
      </c>
      <c r="D132" s="4">
        <f t="shared" si="10"/>
        <v>48045</v>
      </c>
      <c r="E132">
        <f t="shared" si="11"/>
        <v>48018</v>
      </c>
      <c r="F132" s="2" t="s">
        <v>125</v>
      </c>
      <c r="G132" t="str">
        <f ca="1"/>
        <v>H37</v>
      </c>
      <c r="H132" s="3" t="str">
        <f t="shared" ca="1" si="12"/>
        <v>Mar37</v>
      </c>
    </row>
    <row r="133" spans="1:8" x14ac:dyDescent="0.25">
      <c r="A133" s="5">
        <f t="shared" si="7"/>
        <v>9</v>
      </c>
      <c r="B133" t="str">
        <f t="shared" si="8"/>
        <v>31</v>
      </c>
      <c r="C133" s="4">
        <f t="shared" si="9"/>
        <v>48110</v>
      </c>
      <c r="D133" s="4">
        <f t="shared" si="10"/>
        <v>48080</v>
      </c>
      <c r="E133">
        <f t="shared" si="11"/>
        <v>48046</v>
      </c>
      <c r="F133" s="2" t="s">
        <v>124</v>
      </c>
      <c r="G133" t="str">
        <f ca="1"/>
        <v>J37</v>
      </c>
      <c r="H133" s="3" t="str">
        <f t="shared" ca="1" si="12"/>
        <v>Apr37</v>
      </c>
    </row>
    <row r="134" spans="1:8" x14ac:dyDescent="0.25">
      <c r="A134" s="5">
        <f t="shared" ref="A134:A197" si="13">MOD(VLOOKUP(LEFT(F134,1),$P$5:$Q$16,2,0),12)+1</f>
        <v>10</v>
      </c>
      <c r="B134" t="str">
        <f t="shared" ref="B134:B197" si="14">IF(A134&gt;1, RIGHT(F134,2),RIGHT(F135,2))</f>
        <v>31</v>
      </c>
      <c r="C134" s="4">
        <f t="shared" ref="C134:C197" si="15">DATE(B134+100, A134, 1) + 14 + MOD(6 - WEEKDAY(DATE(B134+100, A134, 1)), 7)</f>
        <v>48138</v>
      </c>
      <c r="D134" s="4">
        <f t="shared" ref="D134:D197" si="16">C134-30</f>
        <v>48108</v>
      </c>
      <c r="E134">
        <f t="shared" ref="E134:E197" si="17">D133+1</f>
        <v>48081</v>
      </c>
      <c r="F134" s="2" t="s">
        <v>123</v>
      </c>
      <c r="G134" t="str">
        <f ca="1"/>
        <v>K37</v>
      </c>
      <c r="H134" s="3" t="str">
        <f t="shared" ref="H134:H197" ca="1" si="18">VLOOKUP(LEFT(G134,1),$P$5:$R$16,3,0)&amp; RIGHT(G134,2)</f>
        <v>May37</v>
      </c>
    </row>
    <row r="135" spans="1:8" x14ac:dyDescent="0.25">
      <c r="A135" s="5">
        <f t="shared" si="13"/>
        <v>11</v>
      </c>
      <c r="B135" t="str">
        <f t="shared" si="14"/>
        <v>31</v>
      </c>
      <c r="C135" s="4">
        <f t="shared" si="15"/>
        <v>48173</v>
      </c>
      <c r="D135" s="4">
        <f t="shared" si="16"/>
        <v>48143</v>
      </c>
      <c r="E135">
        <f t="shared" si="17"/>
        <v>48109</v>
      </c>
      <c r="F135" s="2" t="s">
        <v>122</v>
      </c>
      <c r="G135" t="str">
        <f ca="1"/>
        <v>M37</v>
      </c>
      <c r="H135" s="3" t="str">
        <f t="shared" ca="1" si="18"/>
        <v>Jun37</v>
      </c>
    </row>
    <row r="136" spans="1:8" x14ac:dyDescent="0.25">
      <c r="A136" s="5">
        <f t="shared" si="13"/>
        <v>12</v>
      </c>
      <c r="B136" t="str">
        <f t="shared" si="14"/>
        <v>31</v>
      </c>
      <c r="C136" s="4">
        <f t="shared" si="15"/>
        <v>48201</v>
      </c>
      <c r="D136" s="4">
        <f t="shared" si="16"/>
        <v>48171</v>
      </c>
      <c r="E136">
        <f t="shared" si="17"/>
        <v>48144</v>
      </c>
      <c r="F136" s="2" t="s">
        <v>121</v>
      </c>
      <c r="G136" t="str">
        <f ca="1"/>
        <v>N37</v>
      </c>
      <c r="H136" s="3" t="str">
        <f t="shared" ca="1" si="18"/>
        <v>Jul37</v>
      </c>
    </row>
    <row r="137" spans="1:8" x14ac:dyDescent="0.25">
      <c r="A137" s="5">
        <f t="shared" si="13"/>
        <v>1</v>
      </c>
      <c r="B137" t="str">
        <f t="shared" si="14"/>
        <v>32</v>
      </c>
      <c r="C137" s="4">
        <f t="shared" si="15"/>
        <v>48229</v>
      </c>
      <c r="D137" s="4">
        <f t="shared" si="16"/>
        <v>48199</v>
      </c>
      <c r="E137">
        <f t="shared" si="17"/>
        <v>48172</v>
      </c>
      <c r="F137" s="2" t="s">
        <v>120</v>
      </c>
      <c r="G137" t="str">
        <f ca="1"/>
        <v>Q37</v>
      </c>
      <c r="H137" s="3" t="str">
        <f t="shared" ca="1" si="18"/>
        <v>Aug37</v>
      </c>
    </row>
    <row r="138" spans="1:8" x14ac:dyDescent="0.25">
      <c r="A138" s="5">
        <f t="shared" si="13"/>
        <v>2</v>
      </c>
      <c r="B138" t="str">
        <f t="shared" si="14"/>
        <v>32</v>
      </c>
      <c r="C138" s="4">
        <f t="shared" si="15"/>
        <v>48264</v>
      </c>
      <c r="D138" s="4">
        <f t="shared" si="16"/>
        <v>48234</v>
      </c>
      <c r="E138">
        <f t="shared" si="17"/>
        <v>48200</v>
      </c>
      <c r="F138" s="2" t="s">
        <v>119</v>
      </c>
      <c r="G138" t="str">
        <f ca="1"/>
        <v>U37</v>
      </c>
      <c r="H138" s="3" t="str">
        <f t="shared" ca="1" si="18"/>
        <v>Sep37</v>
      </c>
    </row>
    <row r="139" spans="1:8" x14ac:dyDescent="0.25">
      <c r="A139" s="5">
        <f t="shared" si="13"/>
        <v>3</v>
      </c>
      <c r="B139" t="str">
        <f t="shared" si="14"/>
        <v>32</v>
      </c>
      <c r="C139" s="4">
        <f t="shared" si="15"/>
        <v>48292</v>
      </c>
      <c r="D139" s="4">
        <f t="shared" si="16"/>
        <v>48262</v>
      </c>
      <c r="E139">
        <f t="shared" si="17"/>
        <v>48235</v>
      </c>
      <c r="F139" s="2" t="s">
        <v>118</v>
      </c>
      <c r="G139" t="str">
        <f ca="1"/>
        <v>V37</v>
      </c>
      <c r="H139" s="3" t="str">
        <f t="shared" ca="1" si="18"/>
        <v>Oct37</v>
      </c>
    </row>
    <row r="140" spans="1:8" x14ac:dyDescent="0.25">
      <c r="A140" s="5">
        <f t="shared" si="13"/>
        <v>4</v>
      </c>
      <c r="B140" t="str">
        <f t="shared" si="14"/>
        <v>32</v>
      </c>
      <c r="C140" s="4">
        <f t="shared" si="15"/>
        <v>48320</v>
      </c>
      <c r="D140" s="4">
        <f t="shared" si="16"/>
        <v>48290</v>
      </c>
      <c r="E140">
        <f t="shared" si="17"/>
        <v>48263</v>
      </c>
      <c r="F140" s="2" t="s">
        <v>117</v>
      </c>
      <c r="G140" t="str">
        <f ca="1"/>
        <v>X37</v>
      </c>
      <c r="H140" s="3" t="str">
        <f t="shared" ca="1" si="18"/>
        <v>Nov37</v>
      </c>
    </row>
    <row r="141" spans="1:8" x14ac:dyDescent="0.25">
      <c r="A141" s="5">
        <f t="shared" si="13"/>
        <v>5</v>
      </c>
      <c r="B141" t="str">
        <f t="shared" si="14"/>
        <v>32</v>
      </c>
      <c r="C141" s="4">
        <f t="shared" si="15"/>
        <v>48355</v>
      </c>
      <c r="D141" s="4">
        <f t="shared" si="16"/>
        <v>48325</v>
      </c>
      <c r="E141">
        <f t="shared" si="17"/>
        <v>48291</v>
      </c>
      <c r="F141" s="2" t="s">
        <v>116</v>
      </c>
      <c r="G141" t="str">
        <f ca="1"/>
        <v>Z37</v>
      </c>
      <c r="H141" s="3" t="str">
        <f t="shared" ca="1" si="18"/>
        <v>Dec37</v>
      </c>
    </row>
    <row r="142" spans="1:8" x14ac:dyDescent="0.25">
      <c r="A142" s="5">
        <f t="shared" si="13"/>
        <v>6</v>
      </c>
      <c r="B142" t="str">
        <f t="shared" si="14"/>
        <v>32</v>
      </c>
      <c r="C142" s="4">
        <f t="shared" si="15"/>
        <v>48383</v>
      </c>
      <c r="D142" s="4">
        <f t="shared" si="16"/>
        <v>48353</v>
      </c>
      <c r="E142">
        <f t="shared" si="17"/>
        <v>48326</v>
      </c>
      <c r="F142" s="2" t="s">
        <v>115</v>
      </c>
      <c r="G142" t="str">
        <f ca="1"/>
        <v>F38</v>
      </c>
      <c r="H142" s="3" t="str">
        <f t="shared" ca="1" si="18"/>
        <v>Jan38</v>
      </c>
    </row>
    <row r="143" spans="1:8" x14ac:dyDescent="0.25">
      <c r="A143" s="5">
        <f t="shared" si="13"/>
        <v>7</v>
      </c>
      <c r="B143" t="str">
        <f t="shared" si="14"/>
        <v>32</v>
      </c>
      <c r="C143" s="4">
        <f t="shared" si="15"/>
        <v>48411</v>
      </c>
      <c r="D143" s="4">
        <f t="shared" si="16"/>
        <v>48381</v>
      </c>
      <c r="E143">
        <f t="shared" si="17"/>
        <v>48354</v>
      </c>
      <c r="F143" s="2" t="s">
        <v>114</v>
      </c>
      <c r="G143" t="str">
        <f ca="1"/>
        <v>G38</v>
      </c>
      <c r="H143" s="3" t="str">
        <f t="shared" ca="1" si="18"/>
        <v>Feb38</v>
      </c>
    </row>
    <row r="144" spans="1:8" x14ac:dyDescent="0.25">
      <c r="A144" s="5">
        <f t="shared" si="13"/>
        <v>8</v>
      </c>
      <c r="B144" t="str">
        <f t="shared" si="14"/>
        <v>32</v>
      </c>
      <c r="C144" s="4">
        <f t="shared" si="15"/>
        <v>48446</v>
      </c>
      <c r="D144" s="4">
        <f t="shared" si="16"/>
        <v>48416</v>
      </c>
      <c r="E144">
        <f t="shared" si="17"/>
        <v>48382</v>
      </c>
      <c r="F144" s="2" t="s">
        <v>113</v>
      </c>
      <c r="G144" t="str">
        <f ca="1"/>
        <v>H38</v>
      </c>
      <c r="H144" s="3" t="str">
        <f t="shared" ca="1" si="18"/>
        <v>Mar38</v>
      </c>
    </row>
    <row r="145" spans="1:8" x14ac:dyDescent="0.25">
      <c r="A145" s="5">
        <f t="shared" si="13"/>
        <v>9</v>
      </c>
      <c r="B145" t="str">
        <f t="shared" si="14"/>
        <v>32</v>
      </c>
      <c r="C145" s="4">
        <f t="shared" si="15"/>
        <v>48474</v>
      </c>
      <c r="D145" s="4">
        <f t="shared" si="16"/>
        <v>48444</v>
      </c>
      <c r="E145">
        <f t="shared" si="17"/>
        <v>48417</v>
      </c>
      <c r="F145" s="2" t="s">
        <v>112</v>
      </c>
      <c r="G145" t="str">
        <f ca="1"/>
        <v>J38</v>
      </c>
      <c r="H145" s="3" t="str">
        <f t="shared" ca="1" si="18"/>
        <v>Apr38</v>
      </c>
    </row>
    <row r="146" spans="1:8" x14ac:dyDescent="0.25">
      <c r="A146" s="5">
        <f t="shared" si="13"/>
        <v>10</v>
      </c>
      <c r="B146" t="str">
        <f t="shared" si="14"/>
        <v>32</v>
      </c>
      <c r="C146" s="4">
        <f t="shared" si="15"/>
        <v>48502</v>
      </c>
      <c r="D146" s="4">
        <f t="shared" si="16"/>
        <v>48472</v>
      </c>
      <c r="E146">
        <f t="shared" si="17"/>
        <v>48445</v>
      </c>
      <c r="F146" s="2" t="s">
        <v>111</v>
      </c>
      <c r="G146" t="str">
        <f ca="1"/>
        <v>K38</v>
      </c>
      <c r="H146" s="3" t="str">
        <f t="shared" ca="1" si="18"/>
        <v>May38</v>
      </c>
    </row>
    <row r="147" spans="1:8" x14ac:dyDescent="0.25">
      <c r="A147" s="5">
        <f t="shared" si="13"/>
        <v>11</v>
      </c>
      <c r="B147" t="str">
        <f t="shared" si="14"/>
        <v>32</v>
      </c>
      <c r="C147" s="4">
        <f t="shared" si="15"/>
        <v>48537</v>
      </c>
      <c r="D147" s="4">
        <f t="shared" si="16"/>
        <v>48507</v>
      </c>
      <c r="E147">
        <f t="shared" si="17"/>
        <v>48473</v>
      </c>
      <c r="F147" s="2" t="s">
        <v>110</v>
      </c>
      <c r="G147" t="str">
        <f ca="1"/>
        <v>M38</v>
      </c>
      <c r="H147" s="3" t="str">
        <f t="shared" ca="1" si="18"/>
        <v>Jun38</v>
      </c>
    </row>
    <row r="148" spans="1:8" x14ac:dyDescent="0.25">
      <c r="A148" s="5">
        <f t="shared" si="13"/>
        <v>12</v>
      </c>
      <c r="B148" t="str">
        <f t="shared" si="14"/>
        <v>32</v>
      </c>
      <c r="C148" s="4">
        <f t="shared" si="15"/>
        <v>48565</v>
      </c>
      <c r="D148" s="4">
        <f t="shared" si="16"/>
        <v>48535</v>
      </c>
      <c r="E148">
        <f t="shared" si="17"/>
        <v>48508</v>
      </c>
      <c r="F148" s="2" t="s">
        <v>109</v>
      </c>
      <c r="G148" t="str">
        <f ca="1"/>
        <v>N38</v>
      </c>
      <c r="H148" s="3" t="str">
        <f t="shared" ca="1" si="18"/>
        <v>Jul38</v>
      </c>
    </row>
    <row r="149" spans="1:8" x14ac:dyDescent="0.25">
      <c r="A149" s="5">
        <f t="shared" si="13"/>
        <v>1</v>
      </c>
      <c r="B149" t="str">
        <f t="shared" si="14"/>
        <v>33</v>
      </c>
      <c r="C149" s="4">
        <f t="shared" si="15"/>
        <v>48600</v>
      </c>
      <c r="D149" s="4">
        <f t="shared" si="16"/>
        <v>48570</v>
      </c>
      <c r="E149">
        <f t="shared" si="17"/>
        <v>48536</v>
      </c>
      <c r="F149" s="2" t="s">
        <v>108</v>
      </c>
      <c r="G149" t="str">
        <f ca="1"/>
        <v>Q38</v>
      </c>
      <c r="H149" s="3" t="str">
        <f t="shared" ca="1" si="18"/>
        <v>Aug38</v>
      </c>
    </row>
    <row r="150" spans="1:8" x14ac:dyDescent="0.25">
      <c r="A150" s="5">
        <f t="shared" si="13"/>
        <v>2</v>
      </c>
      <c r="B150" t="str">
        <f t="shared" si="14"/>
        <v>33</v>
      </c>
      <c r="C150" s="4">
        <f t="shared" si="15"/>
        <v>48628</v>
      </c>
      <c r="D150" s="4">
        <f t="shared" si="16"/>
        <v>48598</v>
      </c>
      <c r="E150">
        <f t="shared" si="17"/>
        <v>48571</v>
      </c>
      <c r="F150" s="2" t="s">
        <v>107</v>
      </c>
      <c r="G150" t="str">
        <f ca="1"/>
        <v>U38</v>
      </c>
      <c r="H150" s="3" t="str">
        <f t="shared" ca="1" si="18"/>
        <v>Sep38</v>
      </c>
    </row>
    <row r="151" spans="1:8" x14ac:dyDescent="0.25">
      <c r="A151" s="5">
        <f t="shared" si="13"/>
        <v>3</v>
      </c>
      <c r="B151" t="str">
        <f t="shared" si="14"/>
        <v>33</v>
      </c>
      <c r="C151" s="4">
        <f t="shared" si="15"/>
        <v>48656</v>
      </c>
      <c r="D151" s="4">
        <f t="shared" si="16"/>
        <v>48626</v>
      </c>
      <c r="E151">
        <f t="shared" si="17"/>
        <v>48599</v>
      </c>
      <c r="F151" s="2" t="s">
        <v>106</v>
      </c>
      <c r="G151" t="str">
        <f ca="1"/>
        <v>V38</v>
      </c>
      <c r="H151" s="3" t="str">
        <f t="shared" ca="1" si="18"/>
        <v>Oct38</v>
      </c>
    </row>
    <row r="152" spans="1:8" x14ac:dyDescent="0.25">
      <c r="A152" s="5">
        <f t="shared" si="13"/>
        <v>4</v>
      </c>
      <c r="B152" t="str">
        <f t="shared" si="14"/>
        <v>33</v>
      </c>
      <c r="C152" s="4">
        <f t="shared" si="15"/>
        <v>48684</v>
      </c>
      <c r="D152" s="4">
        <f t="shared" si="16"/>
        <v>48654</v>
      </c>
      <c r="E152">
        <f t="shared" si="17"/>
        <v>48627</v>
      </c>
      <c r="F152" s="2" t="s">
        <v>105</v>
      </c>
      <c r="G152" t="str">
        <f ca="1"/>
        <v>X38</v>
      </c>
      <c r="H152" s="3" t="str">
        <f t="shared" ca="1" si="18"/>
        <v>Nov38</v>
      </c>
    </row>
    <row r="153" spans="1:8" x14ac:dyDescent="0.25">
      <c r="A153" s="5">
        <f t="shared" si="13"/>
        <v>5</v>
      </c>
      <c r="B153" t="str">
        <f t="shared" si="14"/>
        <v>33</v>
      </c>
      <c r="C153" s="4">
        <f t="shared" si="15"/>
        <v>48719</v>
      </c>
      <c r="D153" s="4">
        <f t="shared" si="16"/>
        <v>48689</v>
      </c>
      <c r="E153">
        <f t="shared" si="17"/>
        <v>48655</v>
      </c>
      <c r="F153" s="2" t="s">
        <v>104</v>
      </c>
      <c r="G153" t="str">
        <f ca="1"/>
        <v>Z38</v>
      </c>
      <c r="H153" s="3" t="str">
        <f t="shared" ca="1" si="18"/>
        <v>Dec38</v>
      </c>
    </row>
    <row r="154" spans="1:8" x14ac:dyDescent="0.25">
      <c r="A154" s="5">
        <f t="shared" si="13"/>
        <v>6</v>
      </c>
      <c r="B154" t="str">
        <f t="shared" si="14"/>
        <v>33</v>
      </c>
      <c r="C154" s="4">
        <f t="shared" si="15"/>
        <v>48747</v>
      </c>
      <c r="D154" s="4">
        <f t="shared" si="16"/>
        <v>48717</v>
      </c>
      <c r="E154">
        <f t="shared" si="17"/>
        <v>48690</v>
      </c>
      <c r="F154" s="2" t="s">
        <v>103</v>
      </c>
      <c r="G154" t="str">
        <f ca="1"/>
        <v>F39</v>
      </c>
      <c r="H154" s="3" t="str">
        <f t="shared" ca="1" si="18"/>
        <v>Jan39</v>
      </c>
    </row>
    <row r="155" spans="1:8" x14ac:dyDescent="0.25">
      <c r="A155" s="5">
        <f t="shared" si="13"/>
        <v>7</v>
      </c>
      <c r="B155" t="str">
        <f t="shared" si="14"/>
        <v>33</v>
      </c>
      <c r="C155" s="4">
        <f t="shared" si="15"/>
        <v>48775</v>
      </c>
      <c r="D155" s="4">
        <f t="shared" si="16"/>
        <v>48745</v>
      </c>
      <c r="E155">
        <f t="shared" si="17"/>
        <v>48718</v>
      </c>
      <c r="F155" s="2" t="s">
        <v>102</v>
      </c>
      <c r="G155" t="str">
        <f ca="1"/>
        <v>G39</v>
      </c>
      <c r="H155" s="3" t="str">
        <f t="shared" ca="1" si="18"/>
        <v>Feb39</v>
      </c>
    </row>
    <row r="156" spans="1:8" x14ac:dyDescent="0.25">
      <c r="A156" s="5">
        <f t="shared" si="13"/>
        <v>8</v>
      </c>
      <c r="B156" t="str">
        <f t="shared" si="14"/>
        <v>33</v>
      </c>
      <c r="C156" s="4">
        <f t="shared" si="15"/>
        <v>48810</v>
      </c>
      <c r="D156" s="4">
        <f t="shared" si="16"/>
        <v>48780</v>
      </c>
      <c r="E156">
        <f t="shared" si="17"/>
        <v>48746</v>
      </c>
      <c r="F156" s="2" t="s">
        <v>101</v>
      </c>
      <c r="G156" t="str">
        <f ca="1"/>
        <v>H39</v>
      </c>
      <c r="H156" s="3" t="str">
        <f t="shared" ca="1" si="18"/>
        <v>Mar39</v>
      </c>
    </row>
    <row r="157" spans="1:8" x14ac:dyDescent="0.25">
      <c r="A157" s="5">
        <f t="shared" si="13"/>
        <v>9</v>
      </c>
      <c r="B157" t="str">
        <f t="shared" si="14"/>
        <v>33</v>
      </c>
      <c r="C157" s="4">
        <f t="shared" si="15"/>
        <v>48838</v>
      </c>
      <c r="D157" s="4">
        <f t="shared" si="16"/>
        <v>48808</v>
      </c>
      <c r="E157">
        <f t="shared" si="17"/>
        <v>48781</v>
      </c>
      <c r="F157" s="2" t="s">
        <v>100</v>
      </c>
      <c r="G157" t="str">
        <f ca="1"/>
        <v>J39</v>
      </c>
      <c r="H157" s="3" t="str">
        <f t="shared" ca="1" si="18"/>
        <v>Apr39</v>
      </c>
    </row>
    <row r="158" spans="1:8" x14ac:dyDescent="0.25">
      <c r="A158" s="5">
        <f t="shared" si="13"/>
        <v>10</v>
      </c>
      <c r="B158" t="str">
        <f t="shared" si="14"/>
        <v>33</v>
      </c>
      <c r="C158" s="4">
        <f t="shared" si="15"/>
        <v>48873</v>
      </c>
      <c r="D158" s="4">
        <f t="shared" si="16"/>
        <v>48843</v>
      </c>
      <c r="E158">
        <f t="shared" si="17"/>
        <v>48809</v>
      </c>
      <c r="F158" s="2" t="s">
        <v>99</v>
      </c>
      <c r="G158" t="str">
        <f ca="1"/>
        <v>K39</v>
      </c>
      <c r="H158" s="3" t="str">
        <f t="shared" ca="1" si="18"/>
        <v>May39</v>
      </c>
    </row>
    <row r="159" spans="1:8" x14ac:dyDescent="0.25">
      <c r="A159" s="5">
        <f t="shared" si="13"/>
        <v>11</v>
      </c>
      <c r="B159" t="str">
        <f t="shared" si="14"/>
        <v>33</v>
      </c>
      <c r="C159" s="4">
        <f t="shared" si="15"/>
        <v>48901</v>
      </c>
      <c r="D159" s="4">
        <f t="shared" si="16"/>
        <v>48871</v>
      </c>
      <c r="E159">
        <f t="shared" si="17"/>
        <v>48844</v>
      </c>
      <c r="F159" s="2" t="s">
        <v>98</v>
      </c>
      <c r="G159" t="str">
        <f ca="1"/>
        <v>M39</v>
      </c>
      <c r="H159" s="3" t="str">
        <f t="shared" ca="1" si="18"/>
        <v>Jun39</v>
      </c>
    </row>
    <row r="160" spans="1:8" x14ac:dyDescent="0.25">
      <c r="A160" s="5">
        <f t="shared" si="13"/>
        <v>12</v>
      </c>
      <c r="B160" t="str">
        <f t="shared" si="14"/>
        <v>33</v>
      </c>
      <c r="C160" s="4">
        <f t="shared" si="15"/>
        <v>48929</v>
      </c>
      <c r="D160" s="4">
        <f t="shared" si="16"/>
        <v>48899</v>
      </c>
      <c r="E160">
        <f t="shared" si="17"/>
        <v>48872</v>
      </c>
      <c r="F160" s="2" t="s">
        <v>97</v>
      </c>
      <c r="G160" t="str">
        <f ca="1"/>
        <v>N39</v>
      </c>
      <c r="H160" s="3" t="str">
        <f t="shared" ca="1" si="18"/>
        <v>Jul39</v>
      </c>
    </row>
    <row r="161" spans="1:8" x14ac:dyDescent="0.25">
      <c r="A161" s="5">
        <f t="shared" si="13"/>
        <v>1</v>
      </c>
      <c r="B161" t="str">
        <f t="shared" si="14"/>
        <v>34</v>
      </c>
      <c r="C161" s="4">
        <f t="shared" si="15"/>
        <v>48964</v>
      </c>
      <c r="D161" s="4">
        <f t="shared" si="16"/>
        <v>48934</v>
      </c>
      <c r="E161">
        <f t="shared" si="17"/>
        <v>48900</v>
      </c>
      <c r="F161" s="2" t="s">
        <v>96</v>
      </c>
      <c r="G161" t="str">
        <f ca="1"/>
        <v>Q39</v>
      </c>
      <c r="H161" s="3" t="str">
        <f t="shared" ca="1" si="18"/>
        <v>Aug39</v>
      </c>
    </row>
    <row r="162" spans="1:8" x14ac:dyDescent="0.25">
      <c r="A162" s="5">
        <f t="shared" si="13"/>
        <v>2</v>
      </c>
      <c r="B162" t="str">
        <f t="shared" si="14"/>
        <v>34</v>
      </c>
      <c r="C162" s="4">
        <f t="shared" si="15"/>
        <v>48992</v>
      </c>
      <c r="D162" s="4">
        <f t="shared" si="16"/>
        <v>48962</v>
      </c>
      <c r="E162">
        <f t="shared" si="17"/>
        <v>48935</v>
      </c>
      <c r="F162" s="2" t="s">
        <v>95</v>
      </c>
      <c r="G162" t="str">
        <f ca="1"/>
        <v>U39</v>
      </c>
      <c r="H162" s="3" t="str">
        <f t="shared" ca="1" si="18"/>
        <v>Sep39</v>
      </c>
    </row>
    <row r="163" spans="1:8" x14ac:dyDescent="0.25">
      <c r="A163" s="5">
        <f t="shared" si="13"/>
        <v>3</v>
      </c>
      <c r="B163" t="str">
        <f t="shared" si="14"/>
        <v>34</v>
      </c>
      <c r="C163" s="4">
        <f t="shared" si="15"/>
        <v>49020</v>
      </c>
      <c r="D163" s="4">
        <f t="shared" si="16"/>
        <v>48990</v>
      </c>
      <c r="E163">
        <f t="shared" si="17"/>
        <v>48963</v>
      </c>
      <c r="F163" s="2" t="s">
        <v>94</v>
      </c>
      <c r="G163" t="str">
        <f ca="1"/>
        <v>V39</v>
      </c>
      <c r="H163" s="3" t="str">
        <f t="shared" ca="1" si="18"/>
        <v>Oct39</v>
      </c>
    </row>
    <row r="164" spans="1:8" x14ac:dyDescent="0.25">
      <c r="A164" s="5">
        <f t="shared" si="13"/>
        <v>4</v>
      </c>
      <c r="B164" t="str">
        <f t="shared" si="14"/>
        <v>34</v>
      </c>
      <c r="C164" s="4">
        <f t="shared" si="15"/>
        <v>49055</v>
      </c>
      <c r="D164" s="4">
        <f t="shared" si="16"/>
        <v>49025</v>
      </c>
      <c r="E164">
        <f t="shared" si="17"/>
        <v>48991</v>
      </c>
      <c r="F164" s="2" t="s">
        <v>93</v>
      </c>
      <c r="G164" t="str">
        <f ca="1"/>
        <v>X39</v>
      </c>
      <c r="H164" s="3" t="str">
        <f t="shared" ca="1" si="18"/>
        <v>Nov39</v>
      </c>
    </row>
    <row r="165" spans="1:8" x14ac:dyDescent="0.25">
      <c r="A165" s="5">
        <f t="shared" si="13"/>
        <v>5</v>
      </c>
      <c r="B165" t="str">
        <f t="shared" si="14"/>
        <v>34</v>
      </c>
      <c r="C165" s="4">
        <f t="shared" si="15"/>
        <v>49083</v>
      </c>
      <c r="D165" s="4">
        <f t="shared" si="16"/>
        <v>49053</v>
      </c>
      <c r="E165">
        <f t="shared" si="17"/>
        <v>49026</v>
      </c>
      <c r="F165" s="2" t="s">
        <v>92</v>
      </c>
      <c r="G165" t="str">
        <f ca="1"/>
        <v>Z39</v>
      </c>
      <c r="H165" s="3" t="str">
        <f t="shared" ca="1" si="18"/>
        <v>Dec39</v>
      </c>
    </row>
    <row r="166" spans="1:8" x14ac:dyDescent="0.25">
      <c r="A166" s="5">
        <f t="shared" si="13"/>
        <v>6</v>
      </c>
      <c r="B166" t="str">
        <f t="shared" si="14"/>
        <v>34</v>
      </c>
      <c r="C166" s="4">
        <f t="shared" si="15"/>
        <v>49111</v>
      </c>
      <c r="D166" s="4">
        <f t="shared" si="16"/>
        <v>49081</v>
      </c>
      <c r="E166">
        <f t="shared" si="17"/>
        <v>49054</v>
      </c>
      <c r="F166" s="2" t="s">
        <v>91</v>
      </c>
      <c r="G166" t="str">
        <f ca="1"/>
        <v>F40</v>
      </c>
      <c r="H166" s="3" t="str">
        <f t="shared" ca="1" si="18"/>
        <v>Jan40</v>
      </c>
    </row>
    <row r="167" spans="1:8" x14ac:dyDescent="0.25">
      <c r="A167" s="5">
        <f t="shared" si="13"/>
        <v>7</v>
      </c>
      <c r="B167" t="str">
        <f t="shared" si="14"/>
        <v>34</v>
      </c>
      <c r="C167" s="4">
        <f t="shared" si="15"/>
        <v>49146</v>
      </c>
      <c r="D167" s="4">
        <f t="shared" si="16"/>
        <v>49116</v>
      </c>
      <c r="E167">
        <f t="shared" si="17"/>
        <v>49082</v>
      </c>
      <c r="F167" s="2" t="s">
        <v>90</v>
      </c>
      <c r="G167" t="str">
        <f ca="1"/>
        <v>G40</v>
      </c>
      <c r="H167" s="3" t="str">
        <f t="shared" ca="1" si="18"/>
        <v>Feb40</v>
      </c>
    </row>
    <row r="168" spans="1:8" x14ac:dyDescent="0.25">
      <c r="A168" s="5">
        <f t="shared" si="13"/>
        <v>8</v>
      </c>
      <c r="B168" t="str">
        <f t="shared" si="14"/>
        <v>34</v>
      </c>
      <c r="C168" s="4">
        <f t="shared" si="15"/>
        <v>49174</v>
      </c>
      <c r="D168" s="4">
        <f t="shared" si="16"/>
        <v>49144</v>
      </c>
      <c r="E168">
        <f t="shared" si="17"/>
        <v>49117</v>
      </c>
      <c r="F168" s="2" t="s">
        <v>89</v>
      </c>
      <c r="G168" t="str">
        <f ca="1"/>
        <v>H40</v>
      </c>
      <c r="H168" s="3" t="str">
        <f t="shared" ca="1" si="18"/>
        <v>Mar40</v>
      </c>
    </row>
    <row r="169" spans="1:8" x14ac:dyDescent="0.25">
      <c r="A169" s="5">
        <f t="shared" si="13"/>
        <v>9</v>
      </c>
      <c r="B169" t="str">
        <f t="shared" si="14"/>
        <v>34</v>
      </c>
      <c r="C169" s="4">
        <f t="shared" si="15"/>
        <v>49202</v>
      </c>
      <c r="D169" s="4">
        <f t="shared" si="16"/>
        <v>49172</v>
      </c>
      <c r="E169">
        <f t="shared" si="17"/>
        <v>49145</v>
      </c>
      <c r="F169" s="2" t="s">
        <v>88</v>
      </c>
      <c r="G169" t="str">
        <f ca="1"/>
        <v>J40</v>
      </c>
      <c r="H169" s="3" t="str">
        <f t="shared" ca="1" si="18"/>
        <v>Apr40</v>
      </c>
    </row>
    <row r="170" spans="1:8" x14ac:dyDescent="0.25">
      <c r="A170" s="5">
        <f t="shared" si="13"/>
        <v>10</v>
      </c>
      <c r="B170" t="str">
        <f t="shared" si="14"/>
        <v>34</v>
      </c>
      <c r="C170" s="4">
        <f t="shared" si="15"/>
        <v>49237</v>
      </c>
      <c r="D170" s="4">
        <f t="shared" si="16"/>
        <v>49207</v>
      </c>
      <c r="E170">
        <f t="shared" si="17"/>
        <v>49173</v>
      </c>
      <c r="F170" s="2" t="s">
        <v>87</v>
      </c>
      <c r="G170" t="str">
        <f ca="1"/>
        <v>K40</v>
      </c>
      <c r="H170" s="3" t="str">
        <f t="shared" ca="1" si="18"/>
        <v>May40</v>
      </c>
    </row>
    <row r="171" spans="1:8" x14ac:dyDescent="0.25">
      <c r="A171" s="5">
        <f t="shared" si="13"/>
        <v>11</v>
      </c>
      <c r="B171" t="str">
        <f t="shared" si="14"/>
        <v>34</v>
      </c>
      <c r="C171" s="4">
        <f t="shared" si="15"/>
        <v>49265</v>
      </c>
      <c r="D171" s="4">
        <f t="shared" si="16"/>
        <v>49235</v>
      </c>
      <c r="E171">
        <f t="shared" si="17"/>
        <v>49208</v>
      </c>
      <c r="F171" s="2" t="s">
        <v>86</v>
      </c>
      <c r="G171" t="str">
        <f ca="1"/>
        <v>M40</v>
      </c>
      <c r="H171" s="3" t="str">
        <f t="shared" ca="1" si="18"/>
        <v>Jun40</v>
      </c>
    </row>
    <row r="172" spans="1:8" x14ac:dyDescent="0.25">
      <c r="A172" s="5">
        <f t="shared" si="13"/>
        <v>12</v>
      </c>
      <c r="B172" t="str">
        <f t="shared" si="14"/>
        <v>34</v>
      </c>
      <c r="C172" s="4">
        <f t="shared" si="15"/>
        <v>49293</v>
      </c>
      <c r="D172" s="4">
        <f t="shared" si="16"/>
        <v>49263</v>
      </c>
      <c r="E172">
        <f t="shared" si="17"/>
        <v>49236</v>
      </c>
      <c r="F172" s="2" t="s">
        <v>85</v>
      </c>
      <c r="G172" t="str">
        <f ca="1"/>
        <v>N40</v>
      </c>
      <c r="H172" s="3" t="str">
        <f t="shared" ca="1" si="18"/>
        <v>Jul40</v>
      </c>
    </row>
    <row r="173" spans="1:8" x14ac:dyDescent="0.25">
      <c r="A173" s="5">
        <f t="shared" si="13"/>
        <v>1</v>
      </c>
      <c r="B173" t="str">
        <f t="shared" si="14"/>
        <v>35</v>
      </c>
      <c r="C173" s="4">
        <f t="shared" si="15"/>
        <v>49328</v>
      </c>
      <c r="D173" s="4">
        <f t="shared" si="16"/>
        <v>49298</v>
      </c>
      <c r="E173">
        <f t="shared" si="17"/>
        <v>49264</v>
      </c>
      <c r="F173" s="2" t="s">
        <v>84</v>
      </c>
      <c r="G173" t="str">
        <f ca="1"/>
        <v>Q40</v>
      </c>
      <c r="H173" s="3" t="str">
        <f t="shared" ca="1" si="18"/>
        <v>Aug40</v>
      </c>
    </row>
    <row r="174" spans="1:8" x14ac:dyDescent="0.25">
      <c r="A174" s="5">
        <f t="shared" si="13"/>
        <v>2</v>
      </c>
      <c r="B174" t="str">
        <f t="shared" si="14"/>
        <v>35</v>
      </c>
      <c r="C174" s="4">
        <f t="shared" si="15"/>
        <v>49356</v>
      </c>
      <c r="D174" s="4">
        <f t="shared" si="16"/>
        <v>49326</v>
      </c>
      <c r="E174">
        <f t="shared" si="17"/>
        <v>49299</v>
      </c>
      <c r="F174" s="2" t="s">
        <v>83</v>
      </c>
      <c r="G174" t="str">
        <f ca="1"/>
        <v>U40</v>
      </c>
      <c r="H174" s="3" t="str">
        <f t="shared" ca="1" si="18"/>
        <v>Sep40</v>
      </c>
    </row>
    <row r="175" spans="1:8" x14ac:dyDescent="0.25">
      <c r="A175" s="5">
        <f t="shared" si="13"/>
        <v>3</v>
      </c>
      <c r="B175" t="str">
        <f t="shared" si="14"/>
        <v>35</v>
      </c>
      <c r="C175" s="4">
        <f t="shared" si="15"/>
        <v>49384</v>
      </c>
      <c r="D175" s="4">
        <f t="shared" si="16"/>
        <v>49354</v>
      </c>
      <c r="E175">
        <f t="shared" si="17"/>
        <v>49327</v>
      </c>
      <c r="F175" s="2" t="s">
        <v>82</v>
      </c>
      <c r="G175" t="str">
        <f ca="1"/>
        <v>V40</v>
      </c>
      <c r="H175" s="3" t="str">
        <f t="shared" ca="1" si="18"/>
        <v>Oct40</v>
      </c>
    </row>
    <row r="176" spans="1:8" x14ac:dyDescent="0.25">
      <c r="A176" s="5">
        <f t="shared" si="13"/>
        <v>4</v>
      </c>
      <c r="B176" t="str">
        <f t="shared" si="14"/>
        <v>35</v>
      </c>
      <c r="C176" s="4">
        <f t="shared" si="15"/>
        <v>49419</v>
      </c>
      <c r="D176" s="4">
        <f t="shared" si="16"/>
        <v>49389</v>
      </c>
      <c r="E176">
        <f t="shared" si="17"/>
        <v>49355</v>
      </c>
      <c r="F176" s="2" t="s">
        <v>81</v>
      </c>
      <c r="G176" t="str">
        <f ca="1"/>
        <v>X40</v>
      </c>
      <c r="H176" s="3" t="str">
        <f t="shared" ca="1" si="18"/>
        <v>Nov40</v>
      </c>
    </row>
    <row r="177" spans="1:8" x14ac:dyDescent="0.25">
      <c r="A177" s="5">
        <f t="shared" si="13"/>
        <v>5</v>
      </c>
      <c r="B177" t="str">
        <f t="shared" si="14"/>
        <v>35</v>
      </c>
      <c r="C177" s="4">
        <f t="shared" si="15"/>
        <v>49447</v>
      </c>
      <c r="D177" s="4">
        <f t="shared" si="16"/>
        <v>49417</v>
      </c>
      <c r="E177">
        <f t="shared" si="17"/>
        <v>49390</v>
      </c>
      <c r="F177" s="2" t="s">
        <v>80</v>
      </c>
      <c r="G177" t="str">
        <f ca="1"/>
        <v>Z40</v>
      </c>
      <c r="H177" s="3" t="str">
        <f t="shared" ca="1" si="18"/>
        <v>Dec40</v>
      </c>
    </row>
    <row r="178" spans="1:8" x14ac:dyDescent="0.25">
      <c r="A178" s="5">
        <f t="shared" si="13"/>
        <v>6</v>
      </c>
      <c r="B178" t="str">
        <f t="shared" si="14"/>
        <v>35</v>
      </c>
      <c r="C178" s="4">
        <f t="shared" si="15"/>
        <v>49475</v>
      </c>
      <c r="D178" s="4">
        <f t="shared" si="16"/>
        <v>49445</v>
      </c>
      <c r="E178">
        <f t="shared" si="17"/>
        <v>49418</v>
      </c>
      <c r="F178" s="2" t="s">
        <v>79</v>
      </c>
      <c r="G178" t="str">
        <f ca="1"/>
        <v>F41</v>
      </c>
      <c r="H178" s="3" t="str">
        <f t="shared" ca="1" si="18"/>
        <v>Jan41</v>
      </c>
    </row>
    <row r="179" spans="1:8" x14ac:dyDescent="0.25">
      <c r="A179" s="5">
        <f t="shared" si="13"/>
        <v>7</v>
      </c>
      <c r="B179" t="str">
        <f t="shared" si="14"/>
        <v>35</v>
      </c>
      <c r="C179" s="4">
        <f t="shared" si="15"/>
        <v>49510</v>
      </c>
      <c r="D179" s="4">
        <f t="shared" si="16"/>
        <v>49480</v>
      </c>
      <c r="E179">
        <f t="shared" si="17"/>
        <v>49446</v>
      </c>
      <c r="F179" s="2" t="s">
        <v>78</v>
      </c>
      <c r="G179" t="str">
        <f ca="1"/>
        <v>G41</v>
      </c>
      <c r="H179" s="3" t="str">
        <f t="shared" ca="1" si="18"/>
        <v>Feb41</v>
      </c>
    </row>
    <row r="180" spans="1:8" x14ac:dyDescent="0.25">
      <c r="A180" s="5">
        <f t="shared" si="13"/>
        <v>8</v>
      </c>
      <c r="B180" t="str">
        <f t="shared" si="14"/>
        <v>35</v>
      </c>
      <c r="C180" s="4">
        <f t="shared" si="15"/>
        <v>49538</v>
      </c>
      <c r="D180" s="4">
        <f t="shared" si="16"/>
        <v>49508</v>
      </c>
      <c r="E180">
        <f t="shared" si="17"/>
        <v>49481</v>
      </c>
      <c r="F180" s="2" t="s">
        <v>77</v>
      </c>
      <c r="G180" t="str">
        <f ca="1"/>
        <v>H41</v>
      </c>
      <c r="H180" s="3" t="str">
        <f t="shared" ca="1" si="18"/>
        <v>Mar41</v>
      </c>
    </row>
    <row r="181" spans="1:8" x14ac:dyDescent="0.25">
      <c r="A181" s="5">
        <f t="shared" si="13"/>
        <v>9</v>
      </c>
      <c r="B181" t="str">
        <f t="shared" si="14"/>
        <v>35</v>
      </c>
      <c r="C181" s="4">
        <f t="shared" si="15"/>
        <v>49573</v>
      </c>
      <c r="D181" s="4">
        <f t="shared" si="16"/>
        <v>49543</v>
      </c>
      <c r="E181">
        <f t="shared" si="17"/>
        <v>49509</v>
      </c>
      <c r="F181" s="2" t="s">
        <v>76</v>
      </c>
      <c r="G181" t="str">
        <f ca="1"/>
        <v>J41</v>
      </c>
      <c r="H181" s="3" t="str">
        <f t="shared" ca="1" si="18"/>
        <v>Apr41</v>
      </c>
    </row>
    <row r="182" spans="1:8" x14ac:dyDescent="0.25">
      <c r="A182" s="5">
        <f t="shared" si="13"/>
        <v>10</v>
      </c>
      <c r="B182" t="str">
        <f t="shared" si="14"/>
        <v>35</v>
      </c>
      <c r="C182" s="4">
        <f t="shared" si="15"/>
        <v>49601</v>
      </c>
      <c r="D182" s="4">
        <f t="shared" si="16"/>
        <v>49571</v>
      </c>
      <c r="E182">
        <f t="shared" si="17"/>
        <v>49544</v>
      </c>
      <c r="F182" s="2" t="s">
        <v>75</v>
      </c>
      <c r="G182" t="str">
        <f ca="1"/>
        <v>K41</v>
      </c>
      <c r="H182" s="3" t="str">
        <f t="shared" ca="1" si="18"/>
        <v>May41</v>
      </c>
    </row>
    <row r="183" spans="1:8" x14ac:dyDescent="0.25">
      <c r="A183" s="5">
        <f t="shared" si="13"/>
        <v>11</v>
      </c>
      <c r="B183" t="str">
        <f t="shared" si="14"/>
        <v>35</v>
      </c>
      <c r="C183" s="4">
        <f t="shared" si="15"/>
        <v>49629</v>
      </c>
      <c r="D183" s="4">
        <f t="shared" si="16"/>
        <v>49599</v>
      </c>
      <c r="E183">
        <f t="shared" si="17"/>
        <v>49572</v>
      </c>
      <c r="F183" s="2" t="s">
        <v>74</v>
      </c>
      <c r="G183" t="str">
        <f ca="1"/>
        <v>M41</v>
      </c>
      <c r="H183" s="3" t="str">
        <f t="shared" ca="1" si="18"/>
        <v>Jun41</v>
      </c>
    </row>
    <row r="184" spans="1:8" x14ac:dyDescent="0.25">
      <c r="A184" s="5">
        <f t="shared" si="13"/>
        <v>12</v>
      </c>
      <c r="B184" t="str">
        <f t="shared" si="14"/>
        <v>35</v>
      </c>
      <c r="C184" s="4">
        <f t="shared" si="15"/>
        <v>49664</v>
      </c>
      <c r="D184" s="4">
        <f t="shared" si="16"/>
        <v>49634</v>
      </c>
      <c r="E184">
        <f t="shared" si="17"/>
        <v>49600</v>
      </c>
      <c r="F184" s="2" t="s">
        <v>73</v>
      </c>
      <c r="G184" t="str">
        <f ca="1"/>
        <v>N41</v>
      </c>
      <c r="H184" s="3" t="str">
        <f t="shared" ca="1" si="18"/>
        <v>Jul41</v>
      </c>
    </row>
    <row r="185" spans="1:8" x14ac:dyDescent="0.25">
      <c r="A185" s="5">
        <f t="shared" si="13"/>
        <v>1</v>
      </c>
      <c r="B185" t="str">
        <f t="shared" si="14"/>
        <v>36</v>
      </c>
      <c r="C185" s="4">
        <f t="shared" si="15"/>
        <v>49692</v>
      </c>
      <c r="D185" s="4">
        <f t="shared" si="16"/>
        <v>49662</v>
      </c>
      <c r="E185">
        <f t="shared" si="17"/>
        <v>49635</v>
      </c>
      <c r="F185" s="2" t="s">
        <v>72</v>
      </c>
      <c r="G185" t="str">
        <f ca="1"/>
        <v>Q41</v>
      </c>
      <c r="H185" s="3" t="str">
        <f t="shared" ca="1" si="18"/>
        <v>Aug41</v>
      </c>
    </row>
    <row r="186" spans="1:8" x14ac:dyDescent="0.25">
      <c r="A186" s="5">
        <f t="shared" si="13"/>
        <v>2</v>
      </c>
      <c r="B186" t="str">
        <f t="shared" si="14"/>
        <v>36</v>
      </c>
      <c r="C186" s="4">
        <f t="shared" si="15"/>
        <v>49720</v>
      </c>
      <c r="D186" s="4">
        <f t="shared" si="16"/>
        <v>49690</v>
      </c>
      <c r="E186">
        <f t="shared" si="17"/>
        <v>49663</v>
      </c>
      <c r="F186" s="2" t="s">
        <v>71</v>
      </c>
      <c r="G186" t="str">
        <f ca="1"/>
        <v>U41</v>
      </c>
      <c r="H186" s="3" t="str">
        <f t="shared" ca="1" si="18"/>
        <v>Sep41</v>
      </c>
    </row>
    <row r="187" spans="1:8" x14ac:dyDescent="0.25">
      <c r="A187" s="5">
        <f t="shared" si="13"/>
        <v>3</v>
      </c>
      <c r="B187" t="str">
        <f t="shared" si="14"/>
        <v>36</v>
      </c>
      <c r="C187" s="4">
        <f t="shared" si="15"/>
        <v>49755</v>
      </c>
      <c r="D187" s="4">
        <f t="shared" si="16"/>
        <v>49725</v>
      </c>
      <c r="E187">
        <f t="shared" si="17"/>
        <v>49691</v>
      </c>
      <c r="F187" s="2" t="s">
        <v>70</v>
      </c>
      <c r="G187" t="str">
        <f ca="1"/>
        <v>V41</v>
      </c>
      <c r="H187" s="3" t="str">
        <f t="shared" ca="1" si="18"/>
        <v>Oct41</v>
      </c>
    </row>
    <row r="188" spans="1:8" x14ac:dyDescent="0.25">
      <c r="A188" s="5">
        <f t="shared" si="13"/>
        <v>4</v>
      </c>
      <c r="B188" t="str">
        <f t="shared" si="14"/>
        <v>36</v>
      </c>
      <c r="C188" s="4">
        <f t="shared" si="15"/>
        <v>49783</v>
      </c>
      <c r="D188" s="4">
        <f t="shared" si="16"/>
        <v>49753</v>
      </c>
      <c r="E188">
        <f t="shared" si="17"/>
        <v>49726</v>
      </c>
      <c r="F188" s="2" t="s">
        <v>69</v>
      </c>
      <c r="G188" t="str">
        <f ca="1"/>
        <v>X41</v>
      </c>
      <c r="H188" s="3" t="str">
        <f t="shared" ca="1" si="18"/>
        <v>Nov41</v>
      </c>
    </row>
    <row r="189" spans="1:8" x14ac:dyDescent="0.25">
      <c r="A189" s="5">
        <f t="shared" si="13"/>
        <v>5</v>
      </c>
      <c r="B189" t="str">
        <f t="shared" si="14"/>
        <v>36</v>
      </c>
      <c r="C189" s="4">
        <f t="shared" si="15"/>
        <v>49811</v>
      </c>
      <c r="D189" s="4">
        <f t="shared" si="16"/>
        <v>49781</v>
      </c>
      <c r="E189">
        <f t="shared" si="17"/>
        <v>49754</v>
      </c>
      <c r="F189" s="2" t="s">
        <v>68</v>
      </c>
      <c r="G189" t="str">
        <f ca="1"/>
        <v>Z41</v>
      </c>
      <c r="H189" s="3" t="str">
        <f t="shared" ca="1" si="18"/>
        <v>Dec41</v>
      </c>
    </row>
    <row r="190" spans="1:8" x14ac:dyDescent="0.25">
      <c r="A190" s="5">
        <f t="shared" si="13"/>
        <v>6</v>
      </c>
      <c r="B190" t="str">
        <f t="shared" si="14"/>
        <v>36</v>
      </c>
      <c r="C190" s="4">
        <f t="shared" si="15"/>
        <v>49846</v>
      </c>
      <c r="D190" s="4">
        <f t="shared" si="16"/>
        <v>49816</v>
      </c>
      <c r="E190">
        <f t="shared" si="17"/>
        <v>49782</v>
      </c>
      <c r="F190" s="2" t="s">
        <v>67</v>
      </c>
      <c r="H190" s="3" t="e">
        <f t="shared" si="18"/>
        <v>#N/A</v>
      </c>
    </row>
    <row r="191" spans="1:8" x14ac:dyDescent="0.25">
      <c r="A191" s="5">
        <f t="shared" si="13"/>
        <v>7</v>
      </c>
      <c r="B191" t="str">
        <f t="shared" si="14"/>
        <v>36</v>
      </c>
      <c r="C191" s="4">
        <f t="shared" si="15"/>
        <v>49874</v>
      </c>
      <c r="D191" s="4">
        <f t="shared" si="16"/>
        <v>49844</v>
      </c>
      <c r="E191">
        <f t="shared" si="17"/>
        <v>49817</v>
      </c>
      <c r="F191" s="2" t="s">
        <v>66</v>
      </c>
      <c r="H191" s="3" t="e">
        <f t="shared" si="18"/>
        <v>#N/A</v>
      </c>
    </row>
    <row r="192" spans="1:8" x14ac:dyDescent="0.25">
      <c r="A192" s="5">
        <f t="shared" si="13"/>
        <v>8</v>
      </c>
      <c r="B192" t="str">
        <f t="shared" si="14"/>
        <v>36</v>
      </c>
      <c r="C192" s="4">
        <f t="shared" si="15"/>
        <v>49902</v>
      </c>
      <c r="D192" s="4">
        <f t="shared" si="16"/>
        <v>49872</v>
      </c>
      <c r="E192">
        <f t="shared" si="17"/>
        <v>49845</v>
      </c>
      <c r="F192" s="2" t="s">
        <v>65</v>
      </c>
      <c r="H192" s="3" t="e">
        <f t="shared" si="18"/>
        <v>#N/A</v>
      </c>
    </row>
    <row r="193" spans="1:8" x14ac:dyDescent="0.25">
      <c r="A193" s="5">
        <f t="shared" si="13"/>
        <v>9</v>
      </c>
      <c r="B193" t="str">
        <f t="shared" si="14"/>
        <v>36</v>
      </c>
      <c r="C193" s="4">
        <f t="shared" si="15"/>
        <v>49937</v>
      </c>
      <c r="D193" s="4">
        <f t="shared" si="16"/>
        <v>49907</v>
      </c>
      <c r="E193">
        <f t="shared" si="17"/>
        <v>49873</v>
      </c>
      <c r="F193" s="2" t="s">
        <v>64</v>
      </c>
      <c r="H193" s="3" t="e">
        <f t="shared" si="18"/>
        <v>#N/A</v>
      </c>
    </row>
    <row r="194" spans="1:8" x14ac:dyDescent="0.25">
      <c r="A194" s="5">
        <f t="shared" si="13"/>
        <v>10</v>
      </c>
      <c r="B194" t="str">
        <f t="shared" si="14"/>
        <v>36</v>
      </c>
      <c r="C194" s="4">
        <f t="shared" si="15"/>
        <v>49965</v>
      </c>
      <c r="D194" s="4">
        <f t="shared" si="16"/>
        <v>49935</v>
      </c>
      <c r="E194">
        <f t="shared" si="17"/>
        <v>49908</v>
      </c>
      <c r="F194" s="2" t="s">
        <v>63</v>
      </c>
      <c r="H194" s="3" t="e">
        <f t="shared" si="18"/>
        <v>#N/A</v>
      </c>
    </row>
    <row r="195" spans="1:8" x14ac:dyDescent="0.25">
      <c r="A195" s="5">
        <f t="shared" si="13"/>
        <v>11</v>
      </c>
      <c r="B195" t="str">
        <f t="shared" si="14"/>
        <v>36</v>
      </c>
      <c r="C195" s="4">
        <f t="shared" si="15"/>
        <v>50000</v>
      </c>
      <c r="D195" s="4">
        <f t="shared" si="16"/>
        <v>49970</v>
      </c>
      <c r="E195">
        <f t="shared" si="17"/>
        <v>49936</v>
      </c>
      <c r="F195" s="2" t="s">
        <v>62</v>
      </c>
      <c r="H195" s="3" t="e">
        <f t="shared" si="18"/>
        <v>#N/A</v>
      </c>
    </row>
    <row r="196" spans="1:8" x14ac:dyDescent="0.25">
      <c r="A196" s="5">
        <f t="shared" si="13"/>
        <v>12</v>
      </c>
      <c r="B196" t="str">
        <f t="shared" si="14"/>
        <v>36</v>
      </c>
      <c r="C196" s="4">
        <f t="shared" si="15"/>
        <v>50028</v>
      </c>
      <c r="D196" s="4">
        <f t="shared" si="16"/>
        <v>49998</v>
      </c>
      <c r="E196">
        <f t="shared" si="17"/>
        <v>49971</v>
      </c>
      <c r="F196" s="2" t="s">
        <v>61</v>
      </c>
      <c r="H196" s="3" t="e">
        <f t="shared" si="18"/>
        <v>#N/A</v>
      </c>
    </row>
    <row r="197" spans="1:8" x14ac:dyDescent="0.25">
      <c r="A197" s="5">
        <f t="shared" si="13"/>
        <v>1</v>
      </c>
      <c r="B197" t="str">
        <f t="shared" si="14"/>
        <v>37</v>
      </c>
      <c r="C197" s="4">
        <f t="shared" si="15"/>
        <v>50056</v>
      </c>
      <c r="D197" s="4">
        <f t="shared" si="16"/>
        <v>50026</v>
      </c>
      <c r="E197">
        <f t="shared" si="17"/>
        <v>49999</v>
      </c>
      <c r="F197" s="2" t="s">
        <v>60</v>
      </c>
      <c r="H197" s="3" t="e">
        <f t="shared" si="18"/>
        <v>#N/A</v>
      </c>
    </row>
    <row r="198" spans="1:8" x14ac:dyDescent="0.25">
      <c r="A198" s="5">
        <f t="shared" ref="A198:A257" si="19">MOD(VLOOKUP(LEFT(F198,1),$P$5:$Q$16,2,0),12)+1</f>
        <v>2</v>
      </c>
      <c r="B198" t="str">
        <f t="shared" ref="B198:B257" si="20">IF(A198&gt;1, RIGHT(F198,2),RIGHT(F199,2))</f>
        <v>37</v>
      </c>
      <c r="C198" s="4">
        <f t="shared" ref="C198:C257" si="21">DATE(B198+100, A198, 1) + 14 + MOD(6 - WEEKDAY(DATE(B198+100, A198, 1)), 7)</f>
        <v>50091</v>
      </c>
      <c r="D198" s="4">
        <f t="shared" ref="D198:D257" si="22">C198-30</f>
        <v>50061</v>
      </c>
      <c r="E198">
        <f t="shared" ref="E198:E257" si="23">D197+1</f>
        <v>50027</v>
      </c>
      <c r="F198" s="2" t="s">
        <v>59</v>
      </c>
      <c r="H198" s="3" t="e">
        <f t="shared" ref="H198:H257" si="24">VLOOKUP(LEFT(G198,1),$P$5:$R$16,3,0)&amp; RIGHT(G198,2)</f>
        <v>#N/A</v>
      </c>
    </row>
    <row r="199" spans="1:8" x14ac:dyDescent="0.25">
      <c r="A199" s="5">
        <f t="shared" si="19"/>
        <v>3</v>
      </c>
      <c r="B199" t="str">
        <f t="shared" si="20"/>
        <v>37</v>
      </c>
      <c r="C199" s="4">
        <f t="shared" si="21"/>
        <v>50119</v>
      </c>
      <c r="D199" s="4">
        <f t="shared" si="22"/>
        <v>50089</v>
      </c>
      <c r="E199">
        <f t="shared" si="23"/>
        <v>50062</v>
      </c>
      <c r="F199" s="2" t="s">
        <v>58</v>
      </c>
      <c r="H199" s="3" t="e">
        <f t="shared" si="24"/>
        <v>#N/A</v>
      </c>
    </row>
    <row r="200" spans="1:8" x14ac:dyDescent="0.25">
      <c r="A200" s="5">
        <f t="shared" si="19"/>
        <v>4</v>
      </c>
      <c r="B200" t="str">
        <f t="shared" si="20"/>
        <v>37</v>
      </c>
      <c r="C200" s="4">
        <f t="shared" si="21"/>
        <v>50147</v>
      </c>
      <c r="D200" s="4">
        <f t="shared" si="22"/>
        <v>50117</v>
      </c>
      <c r="E200">
        <f t="shared" si="23"/>
        <v>50090</v>
      </c>
      <c r="F200" s="2" t="s">
        <v>57</v>
      </c>
      <c r="H200" s="3" t="e">
        <f t="shared" si="24"/>
        <v>#N/A</v>
      </c>
    </row>
    <row r="201" spans="1:8" x14ac:dyDescent="0.25">
      <c r="A201" s="5">
        <f t="shared" si="19"/>
        <v>5</v>
      </c>
      <c r="B201" t="str">
        <f t="shared" si="20"/>
        <v>37</v>
      </c>
      <c r="C201" s="4">
        <f t="shared" si="21"/>
        <v>50175</v>
      </c>
      <c r="D201" s="4">
        <f t="shared" si="22"/>
        <v>50145</v>
      </c>
      <c r="E201">
        <f t="shared" si="23"/>
        <v>50118</v>
      </c>
      <c r="F201" s="2" t="s">
        <v>56</v>
      </c>
      <c r="H201" s="3" t="e">
        <f t="shared" si="24"/>
        <v>#N/A</v>
      </c>
    </row>
    <row r="202" spans="1:8" x14ac:dyDescent="0.25">
      <c r="A202" s="5">
        <f t="shared" si="19"/>
        <v>6</v>
      </c>
      <c r="B202" t="str">
        <f t="shared" si="20"/>
        <v>37</v>
      </c>
      <c r="C202" s="4">
        <f t="shared" si="21"/>
        <v>50210</v>
      </c>
      <c r="D202" s="4">
        <f t="shared" si="22"/>
        <v>50180</v>
      </c>
      <c r="E202">
        <f t="shared" si="23"/>
        <v>50146</v>
      </c>
      <c r="F202" s="2" t="s">
        <v>55</v>
      </c>
      <c r="H202" s="3" t="e">
        <f t="shared" si="24"/>
        <v>#N/A</v>
      </c>
    </row>
    <row r="203" spans="1:8" x14ac:dyDescent="0.25">
      <c r="A203" s="5">
        <f t="shared" si="19"/>
        <v>7</v>
      </c>
      <c r="B203" t="str">
        <f t="shared" si="20"/>
        <v>37</v>
      </c>
      <c r="C203" s="4">
        <f t="shared" si="21"/>
        <v>50238</v>
      </c>
      <c r="D203" s="4">
        <f t="shared" si="22"/>
        <v>50208</v>
      </c>
      <c r="E203">
        <f t="shared" si="23"/>
        <v>50181</v>
      </c>
      <c r="F203" s="2" t="s">
        <v>54</v>
      </c>
      <c r="H203" s="3" t="e">
        <f t="shared" si="24"/>
        <v>#N/A</v>
      </c>
    </row>
    <row r="204" spans="1:8" x14ac:dyDescent="0.25">
      <c r="A204" s="5">
        <f t="shared" si="19"/>
        <v>8</v>
      </c>
      <c r="B204" t="str">
        <f t="shared" si="20"/>
        <v>37</v>
      </c>
      <c r="C204" s="4">
        <f t="shared" si="21"/>
        <v>50273</v>
      </c>
      <c r="D204" s="4">
        <f t="shared" si="22"/>
        <v>50243</v>
      </c>
      <c r="E204">
        <f t="shared" si="23"/>
        <v>50209</v>
      </c>
      <c r="F204" s="2" t="s">
        <v>53</v>
      </c>
      <c r="H204" s="3" t="e">
        <f t="shared" si="24"/>
        <v>#N/A</v>
      </c>
    </row>
    <row r="205" spans="1:8" x14ac:dyDescent="0.25">
      <c r="A205" s="5">
        <f t="shared" si="19"/>
        <v>9</v>
      </c>
      <c r="B205" t="str">
        <f t="shared" si="20"/>
        <v>37</v>
      </c>
      <c r="C205" s="4">
        <f t="shared" si="21"/>
        <v>50301</v>
      </c>
      <c r="D205" s="4">
        <f t="shared" si="22"/>
        <v>50271</v>
      </c>
      <c r="E205">
        <f t="shared" si="23"/>
        <v>50244</v>
      </c>
      <c r="F205" s="2" t="s">
        <v>52</v>
      </c>
      <c r="H205" s="3" t="e">
        <f t="shared" si="24"/>
        <v>#N/A</v>
      </c>
    </row>
    <row r="206" spans="1:8" x14ac:dyDescent="0.25">
      <c r="A206" s="5">
        <f t="shared" si="19"/>
        <v>10</v>
      </c>
      <c r="B206" t="str">
        <f t="shared" si="20"/>
        <v>37</v>
      </c>
      <c r="C206" s="4">
        <f t="shared" si="21"/>
        <v>50329</v>
      </c>
      <c r="D206" s="4">
        <f t="shared" si="22"/>
        <v>50299</v>
      </c>
      <c r="E206">
        <f t="shared" si="23"/>
        <v>50272</v>
      </c>
      <c r="F206" s="2" t="s">
        <v>51</v>
      </c>
      <c r="H206" s="3" t="e">
        <f t="shared" si="24"/>
        <v>#N/A</v>
      </c>
    </row>
    <row r="207" spans="1:8" x14ac:dyDescent="0.25">
      <c r="A207" s="5">
        <f t="shared" si="19"/>
        <v>11</v>
      </c>
      <c r="B207" t="str">
        <f t="shared" si="20"/>
        <v>37</v>
      </c>
      <c r="C207" s="4">
        <f t="shared" si="21"/>
        <v>50364</v>
      </c>
      <c r="D207" s="4">
        <f t="shared" si="22"/>
        <v>50334</v>
      </c>
      <c r="E207">
        <f t="shared" si="23"/>
        <v>50300</v>
      </c>
      <c r="F207" s="2" t="s">
        <v>50</v>
      </c>
      <c r="H207" s="3" t="e">
        <f t="shared" si="24"/>
        <v>#N/A</v>
      </c>
    </row>
    <row r="208" spans="1:8" x14ac:dyDescent="0.25">
      <c r="A208" s="5">
        <f t="shared" si="19"/>
        <v>12</v>
      </c>
      <c r="B208" t="str">
        <f t="shared" si="20"/>
        <v>37</v>
      </c>
      <c r="C208" s="4">
        <f t="shared" si="21"/>
        <v>50392</v>
      </c>
      <c r="D208" s="4">
        <f t="shared" si="22"/>
        <v>50362</v>
      </c>
      <c r="E208">
        <f t="shared" si="23"/>
        <v>50335</v>
      </c>
      <c r="F208" s="2" t="s">
        <v>49</v>
      </c>
      <c r="H208" s="3" t="e">
        <f t="shared" si="24"/>
        <v>#N/A</v>
      </c>
    </row>
    <row r="209" spans="1:8" x14ac:dyDescent="0.25">
      <c r="A209" s="5">
        <f t="shared" si="19"/>
        <v>1</v>
      </c>
      <c r="B209" t="str">
        <f t="shared" si="20"/>
        <v>38</v>
      </c>
      <c r="C209" s="4">
        <f t="shared" si="21"/>
        <v>50420</v>
      </c>
      <c r="D209" s="4">
        <f t="shared" si="22"/>
        <v>50390</v>
      </c>
      <c r="E209">
        <f t="shared" si="23"/>
        <v>50363</v>
      </c>
      <c r="F209" s="2" t="s">
        <v>48</v>
      </c>
      <c r="H209" s="3" t="e">
        <f t="shared" si="24"/>
        <v>#N/A</v>
      </c>
    </row>
    <row r="210" spans="1:8" x14ac:dyDescent="0.25">
      <c r="A210" s="5">
        <f t="shared" si="19"/>
        <v>2</v>
      </c>
      <c r="B210" t="str">
        <f t="shared" si="20"/>
        <v>38</v>
      </c>
      <c r="C210" s="4">
        <f t="shared" si="21"/>
        <v>50455</v>
      </c>
      <c r="D210" s="4">
        <f t="shared" si="22"/>
        <v>50425</v>
      </c>
      <c r="E210">
        <f t="shared" si="23"/>
        <v>50391</v>
      </c>
      <c r="F210" s="2" t="s">
        <v>47</v>
      </c>
      <c r="H210" s="3" t="e">
        <f t="shared" si="24"/>
        <v>#N/A</v>
      </c>
    </row>
    <row r="211" spans="1:8" x14ac:dyDescent="0.25">
      <c r="A211" s="5">
        <f t="shared" si="19"/>
        <v>3</v>
      </c>
      <c r="B211" t="str">
        <f t="shared" si="20"/>
        <v>38</v>
      </c>
      <c r="C211" s="4">
        <f t="shared" si="21"/>
        <v>50483</v>
      </c>
      <c r="D211" s="4">
        <f t="shared" si="22"/>
        <v>50453</v>
      </c>
      <c r="E211">
        <f t="shared" si="23"/>
        <v>50426</v>
      </c>
      <c r="F211" s="2" t="s">
        <v>46</v>
      </c>
      <c r="H211" s="3" t="e">
        <f t="shared" si="24"/>
        <v>#N/A</v>
      </c>
    </row>
    <row r="212" spans="1:8" x14ac:dyDescent="0.25">
      <c r="A212" s="5">
        <f t="shared" si="19"/>
        <v>4</v>
      </c>
      <c r="B212" t="str">
        <f t="shared" si="20"/>
        <v>38</v>
      </c>
      <c r="C212" s="4">
        <f t="shared" si="21"/>
        <v>50511</v>
      </c>
      <c r="D212" s="4">
        <f t="shared" si="22"/>
        <v>50481</v>
      </c>
      <c r="E212">
        <f t="shared" si="23"/>
        <v>50454</v>
      </c>
      <c r="F212" s="2" t="s">
        <v>45</v>
      </c>
      <c r="H212" s="3" t="e">
        <f t="shared" si="24"/>
        <v>#N/A</v>
      </c>
    </row>
    <row r="213" spans="1:8" x14ac:dyDescent="0.25">
      <c r="A213" s="5">
        <f t="shared" si="19"/>
        <v>5</v>
      </c>
      <c r="B213" t="str">
        <f t="shared" si="20"/>
        <v>38</v>
      </c>
      <c r="C213" s="4">
        <f t="shared" si="21"/>
        <v>50546</v>
      </c>
      <c r="D213" s="4">
        <f t="shared" si="22"/>
        <v>50516</v>
      </c>
      <c r="E213">
        <f t="shared" si="23"/>
        <v>50482</v>
      </c>
      <c r="F213" s="2" t="s">
        <v>44</v>
      </c>
      <c r="H213" s="3" t="e">
        <f t="shared" si="24"/>
        <v>#N/A</v>
      </c>
    </row>
    <row r="214" spans="1:8" x14ac:dyDescent="0.25">
      <c r="A214" s="5">
        <f t="shared" si="19"/>
        <v>6</v>
      </c>
      <c r="B214" t="str">
        <f t="shared" si="20"/>
        <v>38</v>
      </c>
      <c r="C214" s="4">
        <f t="shared" si="21"/>
        <v>50574</v>
      </c>
      <c r="D214" s="4">
        <f t="shared" si="22"/>
        <v>50544</v>
      </c>
      <c r="E214">
        <f t="shared" si="23"/>
        <v>50517</v>
      </c>
      <c r="F214" s="2" t="s">
        <v>43</v>
      </c>
      <c r="H214" s="3" t="e">
        <f t="shared" si="24"/>
        <v>#N/A</v>
      </c>
    </row>
    <row r="215" spans="1:8" x14ac:dyDescent="0.25">
      <c r="A215" s="5">
        <f t="shared" si="19"/>
        <v>7</v>
      </c>
      <c r="B215" t="str">
        <f t="shared" si="20"/>
        <v>38</v>
      </c>
      <c r="C215" s="4">
        <f t="shared" si="21"/>
        <v>50602</v>
      </c>
      <c r="D215" s="4">
        <f t="shared" si="22"/>
        <v>50572</v>
      </c>
      <c r="E215">
        <f t="shared" si="23"/>
        <v>50545</v>
      </c>
      <c r="F215" s="2" t="s">
        <v>42</v>
      </c>
      <c r="H215" s="3" t="e">
        <f t="shared" si="24"/>
        <v>#N/A</v>
      </c>
    </row>
    <row r="216" spans="1:8" x14ac:dyDescent="0.25">
      <c r="A216" s="5">
        <f t="shared" si="19"/>
        <v>8</v>
      </c>
      <c r="B216" t="str">
        <f t="shared" si="20"/>
        <v>38</v>
      </c>
      <c r="C216" s="4">
        <f t="shared" si="21"/>
        <v>50637</v>
      </c>
      <c r="D216" s="4">
        <f t="shared" si="22"/>
        <v>50607</v>
      </c>
      <c r="E216">
        <f t="shared" si="23"/>
        <v>50573</v>
      </c>
      <c r="F216" s="2" t="s">
        <v>41</v>
      </c>
      <c r="H216" s="3" t="e">
        <f t="shared" si="24"/>
        <v>#N/A</v>
      </c>
    </row>
    <row r="217" spans="1:8" x14ac:dyDescent="0.25">
      <c r="A217" s="5">
        <f t="shared" si="19"/>
        <v>9</v>
      </c>
      <c r="B217" t="str">
        <f t="shared" si="20"/>
        <v>38</v>
      </c>
      <c r="C217" s="4">
        <f t="shared" si="21"/>
        <v>50665</v>
      </c>
      <c r="D217" s="4">
        <f t="shared" si="22"/>
        <v>50635</v>
      </c>
      <c r="E217">
        <f t="shared" si="23"/>
        <v>50608</v>
      </c>
      <c r="F217" s="2" t="s">
        <v>40</v>
      </c>
      <c r="H217" s="3" t="e">
        <f t="shared" si="24"/>
        <v>#N/A</v>
      </c>
    </row>
    <row r="218" spans="1:8" x14ac:dyDescent="0.25">
      <c r="A218" s="5">
        <f t="shared" si="19"/>
        <v>10</v>
      </c>
      <c r="B218" t="str">
        <f t="shared" si="20"/>
        <v>38</v>
      </c>
      <c r="C218" s="4">
        <f t="shared" si="21"/>
        <v>50693</v>
      </c>
      <c r="D218" s="4">
        <f t="shared" si="22"/>
        <v>50663</v>
      </c>
      <c r="E218">
        <f t="shared" si="23"/>
        <v>50636</v>
      </c>
      <c r="F218" s="2" t="s">
        <v>39</v>
      </c>
      <c r="H218" s="3" t="e">
        <f t="shared" si="24"/>
        <v>#N/A</v>
      </c>
    </row>
    <row r="219" spans="1:8" x14ac:dyDescent="0.25">
      <c r="A219" s="5">
        <f t="shared" si="19"/>
        <v>11</v>
      </c>
      <c r="B219" t="str">
        <f t="shared" si="20"/>
        <v>38</v>
      </c>
      <c r="C219" s="4">
        <f t="shared" si="21"/>
        <v>50728</v>
      </c>
      <c r="D219" s="4">
        <f t="shared" si="22"/>
        <v>50698</v>
      </c>
      <c r="E219">
        <f t="shared" si="23"/>
        <v>50664</v>
      </c>
      <c r="F219" s="2" t="s">
        <v>38</v>
      </c>
      <c r="H219" s="3" t="e">
        <f t="shared" si="24"/>
        <v>#N/A</v>
      </c>
    </row>
    <row r="220" spans="1:8" x14ac:dyDescent="0.25">
      <c r="A220" s="5">
        <f t="shared" si="19"/>
        <v>12</v>
      </c>
      <c r="B220" t="str">
        <f t="shared" si="20"/>
        <v>38</v>
      </c>
      <c r="C220" s="4">
        <f t="shared" si="21"/>
        <v>50756</v>
      </c>
      <c r="D220" s="4">
        <f t="shared" si="22"/>
        <v>50726</v>
      </c>
      <c r="E220">
        <f t="shared" si="23"/>
        <v>50699</v>
      </c>
      <c r="F220" s="2" t="s">
        <v>37</v>
      </c>
      <c r="H220" s="3" t="e">
        <f t="shared" si="24"/>
        <v>#N/A</v>
      </c>
    </row>
    <row r="221" spans="1:8" x14ac:dyDescent="0.25">
      <c r="A221" s="5">
        <f t="shared" si="19"/>
        <v>1</v>
      </c>
      <c r="B221" t="str">
        <f t="shared" si="20"/>
        <v>39</v>
      </c>
      <c r="C221" s="4">
        <f t="shared" si="21"/>
        <v>50791</v>
      </c>
      <c r="D221" s="4">
        <f t="shared" si="22"/>
        <v>50761</v>
      </c>
      <c r="E221">
        <f t="shared" si="23"/>
        <v>50727</v>
      </c>
      <c r="F221" s="2" t="s">
        <v>36</v>
      </c>
      <c r="H221" s="3" t="e">
        <f t="shared" si="24"/>
        <v>#N/A</v>
      </c>
    </row>
    <row r="222" spans="1:8" x14ac:dyDescent="0.25">
      <c r="A222" s="5">
        <f t="shared" si="19"/>
        <v>2</v>
      </c>
      <c r="B222" t="str">
        <f t="shared" si="20"/>
        <v>39</v>
      </c>
      <c r="C222" s="4">
        <f t="shared" si="21"/>
        <v>50819</v>
      </c>
      <c r="D222" s="4">
        <f t="shared" si="22"/>
        <v>50789</v>
      </c>
      <c r="E222">
        <f t="shared" si="23"/>
        <v>50762</v>
      </c>
      <c r="F222" s="2" t="s">
        <v>35</v>
      </c>
      <c r="H222" s="3" t="e">
        <f t="shared" si="24"/>
        <v>#N/A</v>
      </c>
    </row>
    <row r="223" spans="1:8" x14ac:dyDescent="0.25">
      <c r="A223" s="5">
        <f t="shared" si="19"/>
        <v>3</v>
      </c>
      <c r="B223" t="str">
        <f t="shared" si="20"/>
        <v>39</v>
      </c>
      <c r="C223" s="4">
        <f t="shared" si="21"/>
        <v>50847</v>
      </c>
      <c r="D223" s="4">
        <f t="shared" si="22"/>
        <v>50817</v>
      </c>
      <c r="E223">
        <f t="shared" si="23"/>
        <v>50790</v>
      </c>
      <c r="F223" s="2" t="s">
        <v>34</v>
      </c>
      <c r="H223" s="3" t="e">
        <f t="shared" si="24"/>
        <v>#N/A</v>
      </c>
    </row>
    <row r="224" spans="1:8" x14ac:dyDescent="0.25">
      <c r="A224" s="5">
        <f t="shared" si="19"/>
        <v>4</v>
      </c>
      <c r="B224" t="str">
        <f t="shared" si="20"/>
        <v>39</v>
      </c>
      <c r="C224" s="4">
        <f t="shared" si="21"/>
        <v>50875</v>
      </c>
      <c r="D224" s="4">
        <f t="shared" si="22"/>
        <v>50845</v>
      </c>
      <c r="E224">
        <f t="shared" si="23"/>
        <v>50818</v>
      </c>
      <c r="F224" s="2" t="s">
        <v>33</v>
      </c>
      <c r="H224" s="3" t="e">
        <f t="shared" si="24"/>
        <v>#N/A</v>
      </c>
    </row>
    <row r="225" spans="1:8" x14ac:dyDescent="0.25">
      <c r="A225" s="5">
        <f t="shared" si="19"/>
        <v>5</v>
      </c>
      <c r="B225" t="str">
        <f t="shared" si="20"/>
        <v>39</v>
      </c>
      <c r="C225" s="4">
        <f t="shared" si="21"/>
        <v>50910</v>
      </c>
      <c r="D225" s="4">
        <f t="shared" si="22"/>
        <v>50880</v>
      </c>
      <c r="E225">
        <f t="shared" si="23"/>
        <v>50846</v>
      </c>
      <c r="F225" s="2" t="s">
        <v>32</v>
      </c>
      <c r="H225" s="3" t="e">
        <f t="shared" si="24"/>
        <v>#N/A</v>
      </c>
    </row>
    <row r="226" spans="1:8" x14ac:dyDescent="0.25">
      <c r="A226" s="5">
        <f t="shared" si="19"/>
        <v>6</v>
      </c>
      <c r="B226" t="str">
        <f t="shared" si="20"/>
        <v>39</v>
      </c>
      <c r="C226" s="4">
        <f t="shared" si="21"/>
        <v>50938</v>
      </c>
      <c r="D226" s="4">
        <f t="shared" si="22"/>
        <v>50908</v>
      </c>
      <c r="E226">
        <f t="shared" si="23"/>
        <v>50881</v>
      </c>
      <c r="F226" s="2" t="s">
        <v>31</v>
      </c>
      <c r="H226" s="3" t="e">
        <f t="shared" si="24"/>
        <v>#N/A</v>
      </c>
    </row>
    <row r="227" spans="1:8" x14ac:dyDescent="0.25">
      <c r="A227" s="5">
        <f t="shared" si="19"/>
        <v>7</v>
      </c>
      <c r="B227" t="str">
        <f t="shared" si="20"/>
        <v>39</v>
      </c>
      <c r="C227" s="4">
        <f t="shared" si="21"/>
        <v>50966</v>
      </c>
      <c r="D227" s="4">
        <f t="shared" si="22"/>
        <v>50936</v>
      </c>
      <c r="E227">
        <f t="shared" si="23"/>
        <v>50909</v>
      </c>
      <c r="F227" s="2" t="s">
        <v>30</v>
      </c>
      <c r="H227" s="3" t="e">
        <f t="shared" si="24"/>
        <v>#N/A</v>
      </c>
    </row>
    <row r="228" spans="1:8" x14ac:dyDescent="0.25">
      <c r="A228" s="5">
        <f t="shared" si="19"/>
        <v>8</v>
      </c>
      <c r="B228" t="str">
        <f t="shared" si="20"/>
        <v>39</v>
      </c>
      <c r="C228" s="4">
        <f t="shared" si="21"/>
        <v>51001</v>
      </c>
      <c r="D228" s="4">
        <f t="shared" si="22"/>
        <v>50971</v>
      </c>
      <c r="E228">
        <f t="shared" si="23"/>
        <v>50937</v>
      </c>
      <c r="F228" s="2" t="s">
        <v>29</v>
      </c>
      <c r="H228" s="3" t="e">
        <f t="shared" si="24"/>
        <v>#N/A</v>
      </c>
    </row>
    <row r="229" spans="1:8" x14ac:dyDescent="0.25">
      <c r="A229" s="5">
        <f t="shared" si="19"/>
        <v>9</v>
      </c>
      <c r="B229" t="str">
        <f t="shared" si="20"/>
        <v>39</v>
      </c>
      <c r="C229" s="4">
        <f t="shared" si="21"/>
        <v>51029</v>
      </c>
      <c r="D229" s="4">
        <f t="shared" si="22"/>
        <v>50999</v>
      </c>
      <c r="E229">
        <f t="shared" si="23"/>
        <v>50972</v>
      </c>
      <c r="F229" s="2" t="s">
        <v>28</v>
      </c>
      <c r="H229" s="3" t="e">
        <f t="shared" si="24"/>
        <v>#N/A</v>
      </c>
    </row>
    <row r="230" spans="1:8" x14ac:dyDescent="0.25">
      <c r="A230" s="5">
        <f t="shared" si="19"/>
        <v>10</v>
      </c>
      <c r="B230" t="str">
        <f t="shared" si="20"/>
        <v>39</v>
      </c>
      <c r="C230" s="4">
        <f t="shared" si="21"/>
        <v>51064</v>
      </c>
      <c r="D230" s="4">
        <f t="shared" si="22"/>
        <v>51034</v>
      </c>
      <c r="E230">
        <f t="shared" si="23"/>
        <v>51000</v>
      </c>
      <c r="F230" s="2" t="s">
        <v>27</v>
      </c>
      <c r="H230" s="3" t="e">
        <f t="shared" si="24"/>
        <v>#N/A</v>
      </c>
    </row>
    <row r="231" spans="1:8" x14ac:dyDescent="0.25">
      <c r="A231" s="5">
        <f t="shared" si="19"/>
        <v>11</v>
      </c>
      <c r="B231" t="str">
        <f t="shared" si="20"/>
        <v>39</v>
      </c>
      <c r="C231" s="4">
        <f t="shared" si="21"/>
        <v>51092</v>
      </c>
      <c r="D231" s="4">
        <f t="shared" si="22"/>
        <v>51062</v>
      </c>
      <c r="E231">
        <f t="shared" si="23"/>
        <v>51035</v>
      </c>
      <c r="F231" s="2" t="s">
        <v>26</v>
      </c>
      <c r="H231" s="3" t="e">
        <f t="shared" si="24"/>
        <v>#N/A</v>
      </c>
    </row>
    <row r="232" spans="1:8" x14ac:dyDescent="0.25">
      <c r="A232" s="5">
        <f t="shared" si="19"/>
        <v>12</v>
      </c>
      <c r="B232" t="str">
        <f t="shared" si="20"/>
        <v>39</v>
      </c>
      <c r="C232" s="4">
        <f t="shared" si="21"/>
        <v>51120</v>
      </c>
      <c r="D232" s="4">
        <f t="shared" si="22"/>
        <v>51090</v>
      </c>
      <c r="E232">
        <f t="shared" si="23"/>
        <v>51063</v>
      </c>
      <c r="F232" s="2" t="s">
        <v>25</v>
      </c>
      <c r="H232" s="3" t="e">
        <f t="shared" si="24"/>
        <v>#N/A</v>
      </c>
    </row>
    <row r="233" spans="1:8" x14ac:dyDescent="0.25">
      <c r="A233" s="5">
        <f t="shared" si="19"/>
        <v>1</v>
      </c>
      <c r="B233" t="str">
        <f t="shared" si="20"/>
        <v>40</v>
      </c>
      <c r="C233" s="4">
        <f t="shared" si="21"/>
        <v>51155</v>
      </c>
      <c r="D233" s="4">
        <f t="shared" si="22"/>
        <v>51125</v>
      </c>
      <c r="E233">
        <f t="shared" si="23"/>
        <v>51091</v>
      </c>
      <c r="F233" s="2" t="s">
        <v>24</v>
      </c>
      <c r="H233" s="3" t="e">
        <f t="shared" si="24"/>
        <v>#N/A</v>
      </c>
    </row>
    <row r="234" spans="1:8" x14ac:dyDescent="0.25">
      <c r="A234" s="5">
        <f t="shared" si="19"/>
        <v>2</v>
      </c>
      <c r="B234" t="str">
        <f t="shared" si="20"/>
        <v>40</v>
      </c>
      <c r="C234" s="4">
        <f t="shared" si="21"/>
        <v>51183</v>
      </c>
      <c r="D234" s="4">
        <f t="shared" si="22"/>
        <v>51153</v>
      </c>
      <c r="E234">
        <f t="shared" si="23"/>
        <v>51126</v>
      </c>
      <c r="F234" s="2" t="s">
        <v>23</v>
      </c>
      <c r="H234" s="3" t="e">
        <f t="shared" si="24"/>
        <v>#N/A</v>
      </c>
    </row>
    <row r="235" spans="1:8" x14ac:dyDescent="0.25">
      <c r="A235" s="5">
        <f t="shared" si="19"/>
        <v>3</v>
      </c>
      <c r="B235" t="str">
        <f t="shared" si="20"/>
        <v>40</v>
      </c>
      <c r="C235" s="4">
        <f t="shared" si="21"/>
        <v>51211</v>
      </c>
      <c r="D235" s="4">
        <f t="shared" si="22"/>
        <v>51181</v>
      </c>
      <c r="E235">
        <f t="shared" si="23"/>
        <v>51154</v>
      </c>
      <c r="F235" s="2" t="s">
        <v>22</v>
      </c>
      <c r="H235" s="3" t="e">
        <f t="shared" si="24"/>
        <v>#N/A</v>
      </c>
    </row>
    <row r="236" spans="1:8" x14ac:dyDescent="0.25">
      <c r="A236" s="5">
        <f t="shared" si="19"/>
        <v>4</v>
      </c>
      <c r="B236" t="str">
        <f t="shared" si="20"/>
        <v>40</v>
      </c>
      <c r="C236" s="4">
        <f t="shared" si="21"/>
        <v>51246</v>
      </c>
      <c r="D236" s="4">
        <f t="shared" si="22"/>
        <v>51216</v>
      </c>
      <c r="E236">
        <f t="shared" si="23"/>
        <v>51182</v>
      </c>
      <c r="F236" s="2" t="s">
        <v>21</v>
      </c>
      <c r="H236" s="3" t="e">
        <f t="shared" si="24"/>
        <v>#N/A</v>
      </c>
    </row>
    <row r="237" spans="1:8" x14ac:dyDescent="0.25">
      <c r="A237" s="5">
        <f t="shared" si="19"/>
        <v>5</v>
      </c>
      <c r="B237" t="str">
        <f t="shared" si="20"/>
        <v>40</v>
      </c>
      <c r="C237" s="4">
        <f t="shared" si="21"/>
        <v>51274</v>
      </c>
      <c r="D237" s="4">
        <f t="shared" si="22"/>
        <v>51244</v>
      </c>
      <c r="E237">
        <f t="shared" si="23"/>
        <v>51217</v>
      </c>
      <c r="F237" s="2" t="s">
        <v>20</v>
      </c>
      <c r="H237" s="3" t="e">
        <f t="shared" si="24"/>
        <v>#N/A</v>
      </c>
    </row>
    <row r="238" spans="1:8" x14ac:dyDescent="0.25">
      <c r="A238" s="5">
        <f t="shared" si="19"/>
        <v>6</v>
      </c>
      <c r="B238" t="str">
        <f t="shared" si="20"/>
        <v>40</v>
      </c>
      <c r="C238" s="4">
        <f t="shared" si="21"/>
        <v>51302</v>
      </c>
      <c r="D238" s="4">
        <f t="shared" si="22"/>
        <v>51272</v>
      </c>
      <c r="E238">
        <f t="shared" si="23"/>
        <v>51245</v>
      </c>
      <c r="F238" s="2" t="s">
        <v>19</v>
      </c>
      <c r="H238" s="3" t="e">
        <f t="shared" si="24"/>
        <v>#N/A</v>
      </c>
    </row>
    <row r="239" spans="1:8" x14ac:dyDescent="0.25">
      <c r="A239" s="5">
        <f t="shared" si="19"/>
        <v>7</v>
      </c>
      <c r="B239" t="str">
        <f t="shared" si="20"/>
        <v>40</v>
      </c>
      <c r="C239" s="4">
        <f t="shared" si="21"/>
        <v>51337</v>
      </c>
      <c r="D239" s="4">
        <f t="shared" si="22"/>
        <v>51307</v>
      </c>
      <c r="E239">
        <f t="shared" si="23"/>
        <v>51273</v>
      </c>
      <c r="F239" s="2" t="s">
        <v>18</v>
      </c>
      <c r="H239" s="3" t="e">
        <f t="shared" si="24"/>
        <v>#N/A</v>
      </c>
    </row>
    <row r="240" spans="1:8" x14ac:dyDescent="0.25">
      <c r="A240" s="5">
        <f t="shared" si="19"/>
        <v>8</v>
      </c>
      <c r="B240" t="str">
        <f t="shared" si="20"/>
        <v>40</v>
      </c>
      <c r="C240" s="4">
        <f t="shared" si="21"/>
        <v>51365</v>
      </c>
      <c r="D240" s="4">
        <f t="shared" si="22"/>
        <v>51335</v>
      </c>
      <c r="E240">
        <f t="shared" si="23"/>
        <v>51308</v>
      </c>
      <c r="F240" s="2" t="s">
        <v>17</v>
      </c>
      <c r="H240" s="3" t="e">
        <f t="shared" si="24"/>
        <v>#N/A</v>
      </c>
    </row>
    <row r="241" spans="1:8" x14ac:dyDescent="0.25">
      <c r="A241" s="5">
        <f t="shared" si="19"/>
        <v>9</v>
      </c>
      <c r="B241" t="str">
        <f t="shared" si="20"/>
        <v>40</v>
      </c>
      <c r="C241" s="4">
        <f t="shared" si="21"/>
        <v>51400</v>
      </c>
      <c r="D241" s="4">
        <f t="shared" si="22"/>
        <v>51370</v>
      </c>
      <c r="E241">
        <f t="shared" si="23"/>
        <v>51336</v>
      </c>
      <c r="F241" s="2" t="s">
        <v>16</v>
      </c>
      <c r="H241" s="3" t="e">
        <f t="shared" si="24"/>
        <v>#N/A</v>
      </c>
    </row>
    <row r="242" spans="1:8" x14ac:dyDescent="0.25">
      <c r="A242" s="5">
        <f t="shared" si="19"/>
        <v>10</v>
      </c>
      <c r="B242" t="str">
        <f t="shared" si="20"/>
        <v>40</v>
      </c>
      <c r="C242" s="4">
        <f t="shared" si="21"/>
        <v>51428</v>
      </c>
      <c r="D242" s="4">
        <f t="shared" si="22"/>
        <v>51398</v>
      </c>
      <c r="E242">
        <f t="shared" si="23"/>
        <v>51371</v>
      </c>
      <c r="F242" s="2" t="s">
        <v>15</v>
      </c>
      <c r="H242" s="3" t="e">
        <f t="shared" si="24"/>
        <v>#N/A</v>
      </c>
    </row>
    <row r="243" spans="1:8" x14ac:dyDescent="0.25">
      <c r="A243" s="5">
        <f t="shared" si="19"/>
        <v>11</v>
      </c>
      <c r="B243" t="str">
        <f t="shared" si="20"/>
        <v>40</v>
      </c>
      <c r="C243" s="4">
        <f t="shared" si="21"/>
        <v>51456</v>
      </c>
      <c r="D243" s="4">
        <f t="shared" si="22"/>
        <v>51426</v>
      </c>
      <c r="E243">
        <f t="shared" si="23"/>
        <v>51399</v>
      </c>
      <c r="F243" s="2" t="s">
        <v>14</v>
      </c>
      <c r="H243" s="3" t="e">
        <f t="shared" si="24"/>
        <v>#N/A</v>
      </c>
    </row>
    <row r="244" spans="1:8" x14ac:dyDescent="0.25">
      <c r="A244" s="5">
        <f t="shared" si="19"/>
        <v>12</v>
      </c>
      <c r="B244" t="str">
        <f t="shared" si="20"/>
        <v>40</v>
      </c>
      <c r="C244" s="4">
        <f t="shared" si="21"/>
        <v>51491</v>
      </c>
      <c r="D244" s="4">
        <f t="shared" si="22"/>
        <v>51461</v>
      </c>
      <c r="E244">
        <f t="shared" si="23"/>
        <v>51427</v>
      </c>
      <c r="F244" s="2" t="s">
        <v>13</v>
      </c>
      <c r="H244" s="3" t="e">
        <f t="shared" si="24"/>
        <v>#N/A</v>
      </c>
    </row>
    <row r="245" spans="1:8" x14ac:dyDescent="0.25">
      <c r="A245" s="5">
        <f t="shared" si="19"/>
        <v>1</v>
      </c>
      <c r="B245" t="str">
        <f t="shared" si="20"/>
        <v>41</v>
      </c>
      <c r="C245" s="4">
        <f t="shared" si="21"/>
        <v>51519</v>
      </c>
      <c r="D245" s="4">
        <f t="shared" si="22"/>
        <v>51489</v>
      </c>
      <c r="E245">
        <f t="shared" si="23"/>
        <v>51462</v>
      </c>
      <c r="F245" s="2" t="s">
        <v>12</v>
      </c>
      <c r="H245" s="3" t="e">
        <f t="shared" si="24"/>
        <v>#N/A</v>
      </c>
    </row>
    <row r="246" spans="1:8" x14ac:dyDescent="0.25">
      <c r="A246" s="5">
        <f t="shared" si="19"/>
        <v>2</v>
      </c>
      <c r="B246" t="str">
        <f t="shared" si="20"/>
        <v>41</v>
      </c>
      <c r="C246" s="4">
        <f t="shared" si="21"/>
        <v>51547</v>
      </c>
      <c r="D246" s="4">
        <f t="shared" si="22"/>
        <v>51517</v>
      </c>
      <c r="E246">
        <f t="shared" si="23"/>
        <v>51490</v>
      </c>
      <c r="F246" s="2" t="s">
        <v>11</v>
      </c>
      <c r="H246" s="3" t="e">
        <f t="shared" si="24"/>
        <v>#N/A</v>
      </c>
    </row>
    <row r="247" spans="1:8" x14ac:dyDescent="0.25">
      <c r="A247" s="5">
        <f t="shared" si="19"/>
        <v>3</v>
      </c>
      <c r="B247" t="str">
        <f t="shared" si="20"/>
        <v>41</v>
      </c>
      <c r="C247" s="4">
        <f t="shared" si="21"/>
        <v>51575</v>
      </c>
      <c r="D247" s="4">
        <f t="shared" si="22"/>
        <v>51545</v>
      </c>
      <c r="E247">
        <f t="shared" si="23"/>
        <v>51518</v>
      </c>
      <c r="F247" s="2" t="s">
        <v>10</v>
      </c>
      <c r="H247" s="3" t="e">
        <f t="shared" si="24"/>
        <v>#N/A</v>
      </c>
    </row>
    <row r="248" spans="1:8" x14ac:dyDescent="0.25">
      <c r="A248" s="5">
        <f t="shared" si="19"/>
        <v>4</v>
      </c>
      <c r="B248" t="str">
        <f t="shared" si="20"/>
        <v>41</v>
      </c>
      <c r="C248" s="4">
        <f t="shared" si="21"/>
        <v>51610</v>
      </c>
      <c r="D248" s="4">
        <f t="shared" si="22"/>
        <v>51580</v>
      </c>
      <c r="E248">
        <f t="shared" si="23"/>
        <v>51546</v>
      </c>
      <c r="F248" s="2" t="s">
        <v>9</v>
      </c>
      <c r="H248" s="3" t="e">
        <f t="shared" si="24"/>
        <v>#N/A</v>
      </c>
    </row>
    <row r="249" spans="1:8" x14ac:dyDescent="0.25">
      <c r="A249" s="5">
        <f t="shared" si="19"/>
        <v>5</v>
      </c>
      <c r="B249" t="str">
        <f t="shared" si="20"/>
        <v>41</v>
      </c>
      <c r="C249" s="4">
        <f t="shared" si="21"/>
        <v>51638</v>
      </c>
      <c r="D249" s="4">
        <f t="shared" si="22"/>
        <v>51608</v>
      </c>
      <c r="E249">
        <f t="shared" si="23"/>
        <v>51581</v>
      </c>
      <c r="F249" s="2" t="s">
        <v>8</v>
      </c>
      <c r="H249" s="3" t="e">
        <f t="shared" si="24"/>
        <v>#N/A</v>
      </c>
    </row>
    <row r="250" spans="1:8" x14ac:dyDescent="0.25">
      <c r="A250" s="5">
        <f t="shared" si="19"/>
        <v>6</v>
      </c>
      <c r="B250" t="str">
        <f t="shared" si="20"/>
        <v>41</v>
      </c>
      <c r="C250" s="4">
        <f t="shared" si="21"/>
        <v>51673</v>
      </c>
      <c r="D250" s="4">
        <f t="shared" si="22"/>
        <v>51643</v>
      </c>
      <c r="E250">
        <f t="shared" si="23"/>
        <v>51609</v>
      </c>
      <c r="F250" s="2" t="s">
        <v>7</v>
      </c>
      <c r="H250" s="3" t="e">
        <f t="shared" si="24"/>
        <v>#N/A</v>
      </c>
    </row>
    <row r="251" spans="1:8" x14ac:dyDescent="0.25">
      <c r="A251" s="5">
        <f t="shared" si="19"/>
        <v>7</v>
      </c>
      <c r="B251" t="str">
        <f t="shared" si="20"/>
        <v>41</v>
      </c>
      <c r="C251" s="4">
        <f t="shared" si="21"/>
        <v>51701</v>
      </c>
      <c r="D251" s="4">
        <f t="shared" si="22"/>
        <v>51671</v>
      </c>
      <c r="E251">
        <f t="shared" si="23"/>
        <v>51644</v>
      </c>
      <c r="F251" s="2" t="s">
        <v>6</v>
      </c>
      <c r="H251" s="3" t="e">
        <f t="shared" si="24"/>
        <v>#N/A</v>
      </c>
    </row>
    <row r="252" spans="1:8" x14ac:dyDescent="0.25">
      <c r="A252" s="5">
        <f t="shared" si="19"/>
        <v>8</v>
      </c>
      <c r="B252" t="str">
        <f t="shared" si="20"/>
        <v>41</v>
      </c>
      <c r="C252" s="4">
        <f t="shared" si="21"/>
        <v>51729</v>
      </c>
      <c r="D252" s="4">
        <f t="shared" si="22"/>
        <v>51699</v>
      </c>
      <c r="E252">
        <f t="shared" si="23"/>
        <v>51672</v>
      </c>
      <c r="F252" s="2" t="s">
        <v>5</v>
      </c>
      <c r="H252" s="3" t="e">
        <f t="shared" si="24"/>
        <v>#N/A</v>
      </c>
    </row>
    <row r="253" spans="1:8" x14ac:dyDescent="0.25">
      <c r="A253" s="5">
        <f t="shared" si="19"/>
        <v>9</v>
      </c>
      <c r="B253" t="str">
        <f t="shared" si="20"/>
        <v>41</v>
      </c>
      <c r="C253" s="4">
        <f t="shared" si="21"/>
        <v>51764</v>
      </c>
      <c r="D253" s="4">
        <f t="shared" si="22"/>
        <v>51734</v>
      </c>
      <c r="E253">
        <f t="shared" si="23"/>
        <v>51700</v>
      </c>
      <c r="F253" s="2" t="s">
        <v>4</v>
      </c>
      <c r="H253" s="3" t="e">
        <f t="shared" si="24"/>
        <v>#N/A</v>
      </c>
    </row>
    <row r="254" spans="1:8" x14ac:dyDescent="0.25">
      <c r="A254" s="5">
        <f t="shared" si="19"/>
        <v>10</v>
      </c>
      <c r="B254" t="str">
        <f t="shared" si="20"/>
        <v>41</v>
      </c>
      <c r="C254" s="4">
        <f t="shared" si="21"/>
        <v>51792</v>
      </c>
      <c r="D254" s="4">
        <f t="shared" si="22"/>
        <v>51762</v>
      </c>
      <c r="E254">
        <f t="shared" si="23"/>
        <v>51735</v>
      </c>
      <c r="F254" s="2" t="s">
        <v>3</v>
      </c>
      <c r="H254" s="3" t="e">
        <f t="shared" si="24"/>
        <v>#N/A</v>
      </c>
    </row>
    <row r="255" spans="1:8" x14ac:dyDescent="0.25">
      <c r="A255" s="5">
        <f t="shared" si="19"/>
        <v>11</v>
      </c>
      <c r="B255" t="str">
        <f t="shared" si="20"/>
        <v>41</v>
      </c>
      <c r="C255" s="4">
        <f t="shared" si="21"/>
        <v>51820</v>
      </c>
      <c r="D255" s="4">
        <f t="shared" si="22"/>
        <v>51790</v>
      </c>
      <c r="E255">
        <f t="shared" si="23"/>
        <v>51763</v>
      </c>
      <c r="F255" s="2" t="s">
        <v>2</v>
      </c>
      <c r="H255" s="3" t="e">
        <f t="shared" si="24"/>
        <v>#N/A</v>
      </c>
    </row>
    <row r="256" spans="1:8" x14ac:dyDescent="0.25">
      <c r="A256" s="5">
        <f t="shared" si="19"/>
        <v>12</v>
      </c>
      <c r="B256" t="str">
        <f t="shared" si="20"/>
        <v>41</v>
      </c>
      <c r="C256" s="4">
        <f t="shared" si="21"/>
        <v>51855</v>
      </c>
      <c r="D256" s="4">
        <f t="shared" si="22"/>
        <v>51825</v>
      </c>
      <c r="E256">
        <f t="shared" si="23"/>
        <v>51791</v>
      </c>
      <c r="F256" s="2" t="s">
        <v>1</v>
      </c>
      <c r="H256" s="3" t="e">
        <f t="shared" si="24"/>
        <v>#N/A</v>
      </c>
    </row>
    <row r="257" spans="1:8" x14ac:dyDescent="0.25">
      <c r="A257" s="5">
        <f t="shared" si="19"/>
        <v>1</v>
      </c>
      <c r="B257" t="str">
        <f t="shared" si="20"/>
        <v/>
      </c>
      <c r="C257" s="4" t="e">
        <f t="shared" si="21"/>
        <v>#VALUE!</v>
      </c>
      <c r="D257" s="4" t="e">
        <f t="shared" si="22"/>
        <v>#VALUE!</v>
      </c>
      <c r="E257">
        <f t="shared" si="23"/>
        <v>51826</v>
      </c>
      <c r="F257" s="2" t="s">
        <v>0</v>
      </c>
      <c r="H257" s="3" t="e">
        <f t="shared" si="24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RTD</vt:lpstr>
      <vt:lpstr>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Kushwaha</dc:creator>
  <cp:lastModifiedBy>Ratnesh Kushwaha</cp:lastModifiedBy>
  <dcterms:created xsi:type="dcterms:W3CDTF">2026-07-29T17:22:45Z</dcterms:created>
  <dcterms:modified xsi:type="dcterms:W3CDTF">2026-08-31T11:03:16Z</dcterms:modified>
</cp:coreProperties>
</file>